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6e5466c0188914/Área de Trabalho/"/>
    </mc:Choice>
  </mc:AlternateContent>
  <xr:revisionPtr revIDLastSave="0" documentId="14_{AC947C53-F5C3-4EBF-BFC6-3E592EA586AD}" xr6:coauthVersionLast="47" xr6:coauthVersionMax="47" xr10:uidLastSave="{00000000-0000-0000-0000-000000000000}"/>
  <bookViews>
    <workbookView xWindow="-108" yWindow="-108" windowWidth="23256" windowHeight="12456" tabRatio="0" xr2:uid="{3EBB789C-BA78-4EB0-A635-A95FEA28CBD5}"/>
  </bookViews>
  <sheets>
    <sheet name="TITULAR" sheetId="1" r:id="rId1"/>
    <sheet name="INFORMES" sheetId="6" r:id="rId2"/>
    <sheet name="NOTAS" sheetId="7" r:id="rId3"/>
    <sheet name="TBL_BANCO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D5" i="6"/>
  <c r="B52" i="8"/>
</calcChain>
</file>

<file path=xl/sharedStrings.xml><?xml version="1.0" encoding="utf-8"?>
<sst xmlns="http://schemas.openxmlformats.org/spreadsheetml/2006/main" count="117" uniqueCount="95">
  <si>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</si>
  <si>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</si>
  <si>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</si>
  <si>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</si>
  <si>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</si>
  <si>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</si>
  <si>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</si>
  <si>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</si>
  <si>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</si>
  <si>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</si>
  <si>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</si>
  <si>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</si>
  <si>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</si>
  <si>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</si>
  <si>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</si>
  <si>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</si>
  <si>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Rafael Zanluck</t>
  </si>
  <si>
    <t>Maria Zanluck</t>
  </si>
  <si>
    <t>Rua João Almiro Neto, Nº 180</t>
  </si>
  <si>
    <t>R. João A., Nº 180</t>
  </si>
  <si>
    <t>rafael@msn.com</t>
  </si>
  <si>
    <t>1. DADOS DO TÍTULAR</t>
  </si>
  <si>
    <t>preencha os dados da sua pessoa física abaixo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</si>
  <si>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</si>
  <si>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</si>
  <si>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</si>
  <si>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</si>
  <si>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</si>
  <si>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</si>
  <si>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</si>
  <si>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</si>
  <si>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</si>
  <si>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preencha os dados de cada banco abaixo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</si>
  <si>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</si>
  <si>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</si>
  <si>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</si>
  <si>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</si>
  <si>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</si>
  <si>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</si>
  <si>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</si>
  <si>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</si>
  <si>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</si>
  <si>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</si>
  <si>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</si>
  <si>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</si>
  <si>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</si>
  <si>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</si>
  <si>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</si>
  <si>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</si>
  <si>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</si>
  <si>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</si>
  <si>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</si>
  <si>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</si>
  <si>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</si>
  <si>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</si>
  <si>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</si>
  <si>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</si>
  <si>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</si>
  <si>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</si>
  <si>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</si>
  <si>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</si>
  <si>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</si>
  <si>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</si>
  <si>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</si>
  <si>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</si>
  <si>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</si>
  <si>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</si>
  <si>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</si>
  <si>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</si>
  <si>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</si>
  <si>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</si>
  <si>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</si>
  <si>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</si>
  <si>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</si>
  <si>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</si>
  <si>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</si>
  <si>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</si>
  <si>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</si>
  <si>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</si>
  <si>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</si>
  <si>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</si>
  <si>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</si>
  <si>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Nota_XP_2025.pdf</t>
  </si>
  <si>
    <t>Nota_Itau_2025.pdf</t>
  </si>
  <si>
    <t>Nota_CxEF_2025.pdf</t>
  </si>
  <si>
    <t>3. NOTAS BANCÁRIAS OU EXTRATO DE HOLERITES</t>
  </si>
  <si>
    <t>2. INFORMES DE RENDIMENTOS BANCÁRIOS</t>
  </si>
  <si>
    <t>ENTRADAS</t>
  </si>
  <si>
    <t>Data</t>
  </si>
  <si>
    <t>Categoria</t>
  </si>
  <si>
    <t>Valor</t>
  </si>
  <si>
    <t>Salário</t>
  </si>
  <si>
    <t>Prev. Privada</t>
  </si>
  <si>
    <t>Invest. Ações</t>
  </si>
  <si>
    <t>são todos os valores de entrada mês a mês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</si>
</sst>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70" formatCode="&quot;R$&quot;\ #,##0.00"/>
    <numFmt numFmtId="176" formatCode="mm/yyyy"/>
  </numFmts>
  <fonts count="1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Segoe UI Light"/>
      <family val="2"/>
    </font>
    <font>
      <i/>
      <sz val="12"/>
      <name val="Segoe UI Light"/>
      <family val="2"/>
    </font>
    <font>
      <sz val="14"/>
      <color theme="1"/>
      <name val="Segoe UI Light"/>
      <family val="2"/>
    </font>
    <font>
      <sz val="11"/>
      <color theme="9" tint="-0.249977111117893"/>
      <name val="Segoe UI Light"/>
      <family val="2"/>
    </font>
    <font>
      <b/>
      <sz val="20"/>
      <color theme="9" tint="-0.249977111117893"/>
      <name val="Segoe UI Black"/>
      <family val="2"/>
    </font>
    <font>
      <sz val="16"/>
      <color theme="9" tint="-0.249977111117893"/>
      <name val="Segoe UI Black"/>
      <family val="2"/>
    </font>
    <font>
      <sz val="16"/>
      <color theme="1"/>
      <name val="Segoe UI Light"/>
      <family val="2"/>
    </font>
    <font>
      <b/>
      <sz val="16"/>
      <color theme="1"/>
      <name val="Segoe UI Light"/>
      <family val="2"/>
    </font>
    <font>
      <sz val="11"/>
      <color rgb="FF000000"/>
      <name val="Aptos Narrow"/>
      <family val="2"/>
      <scheme val="minor"/>
    </font>
    <font>
      <sz val="16"/>
      <color theme="1"/>
      <name val="Segoe UI Black"/>
      <family val="2"/>
    </font>
    <font>
      <sz val="14"/>
      <name val="Segoe UI Light"/>
      <family val="2"/>
    </font>
    <font>
      <sz val="14"/>
      <color theme="5" tint="-0.249977111117893"/>
      <name val="Segoe UI"/>
      <family val="2"/>
    </font>
    <font>
      <sz val="14"/>
      <color theme="5" tint="-0.249977111117893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color theme="9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gradientFill degree="180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9" tint="-0.2499465926084170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 tint="0.34998626667073579"/>
      </right>
      <top/>
      <bottom style="thick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0" tint="-0.24994659260841701"/>
      </bottom>
      <diagonal/>
    </border>
    <border>
      <left style="thin">
        <color theme="1" tint="0.34998626667073579"/>
      </left>
      <right/>
      <top/>
      <bottom style="thick">
        <color theme="0" tint="-0.24994659260841701"/>
      </bottom>
      <diagonal/>
    </border>
    <border>
      <left/>
      <right style="thin">
        <color theme="1" tint="0.34998626667073579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theme="1" tint="0.34998626667073579"/>
      </left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 style="thin">
        <color theme="1" tint="0.34998626667073579"/>
      </right>
      <top style="thick">
        <color theme="0" tint="-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ck">
        <color theme="0" tint="-0.24994659260841701"/>
      </top>
      <bottom/>
      <diagonal/>
    </border>
    <border>
      <left style="thin">
        <color theme="1" tint="0.34998626667073579"/>
      </left>
      <right/>
      <top style="thick">
        <color theme="0" tint="-0.2499465926084170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4" fillId="0" borderId="0" xfId="1" applyFont="1" applyBorder="1"/>
    <xf numFmtId="0" fontId="3" fillId="0" borderId="0" xfId="0" applyFont="1"/>
    <xf numFmtId="0" fontId="7" fillId="0" borderId="0" xfId="0" applyFont="1"/>
    <xf numFmtId="0" fontId="8" fillId="0" borderId="0" xfId="1" applyFont="1" applyFill="1" applyBorder="1"/>
    <xf numFmtId="0" fontId="5" fillId="4" borderId="2" xfId="0" applyFont="1" applyFill="1" applyBorder="1" applyAlignment="1">
      <alignment horizontal="left" vertical="center" indent="7"/>
    </xf>
    <xf numFmtId="0" fontId="6" fillId="0" borderId="3" xfId="0" applyFont="1" applyBorder="1" applyAlignment="1">
      <alignment horizontal="right" indent="1"/>
    </xf>
    <xf numFmtId="0" fontId="6" fillId="0" borderId="3" xfId="0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170" fontId="11" fillId="7" borderId="3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170" fontId="11" fillId="0" borderId="3" xfId="0" applyNumberFormat="1" applyFont="1" applyFill="1" applyBorder="1" applyAlignment="1">
      <alignment horizontal="center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8"/>
    </xf>
    <xf numFmtId="0" fontId="16" fillId="6" borderId="5" xfId="0" applyFont="1" applyFill="1" applyBorder="1" applyAlignment="1">
      <alignment horizontal="center" vertical="center"/>
    </xf>
    <xf numFmtId="170" fontId="16" fillId="6" borderId="6" xfId="0" applyNumberFormat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70" fontId="15" fillId="0" borderId="9" xfId="0" applyNumberFormat="1" applyFont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0" fontId="15" fillId="6" borderId="9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0" fontId="17" fillId="6" borderId="3" xfId="2" applyFont="1" applyFill="1" applyBorder="1" applyAlignment="1" applyProtection="1">
      <alignment horizontal="left" indent="1"/>
      <protection locked="0"/>
    </xf>
    <xf numFmtId="164" fontId="17" fillId="6" borderId="3" xfId="2" applyNumberFormat="1" applyFont="1" applyFill="1" applyBorder="1" applyAlignment="1" applyProtection="1">
      <alignment horizontal="left" indent="1"/>
      <protection locked="0"/>
    </xf>
    <xf numFmtId="14" fontId="17" fillId="6" borderId="3" xfId="2" applyNumberFormat="1" applyFont="1" applyFill="1" applyBorder="1" applyAlignment="1" applyProtection="1">
      <alignment horizontal="left" indent="1"/>
      <protection locked="0"/>
    </xf>
    <xf numFmtId="165" fontId="17" fillId="6" borderId="3" xfId="2" applyNumberFormat="1" applyFont="1" applyFill="1" applyBorder="1" applyAlignment="1" applyProtection="1">
      <alignment horizontal="left" indent="1"/>
      <protection locked="0"/>
    </xf>
    <xf numFmtId="166" fontId="17" fillId="6" borderId="3" xfId="2" applyNumberFormat="1" applyFont="1" applyFill="1" applyBorder="1" applyAlignment="1" applyProtection="1">
      <alignment horizontal="left" indent="1"/>
      <protection locked="0"/>
    </xf>
    <xf numFmtId="167" fontId="17" fillId="6" borderId="3" xfId="2" applyNumberFormat="1" applyFont="1" applyFill="1" applyBorder="1" applyAlignment="1" applyProtection="1">
      <alignment horizontal="left" indent="1"/>
      <protection locked="0"/>
    </xf>
    <xf numFmtId="0" fontId="17" fillId="6" borderId="3" xfId="2" applyNumberFormat="1" applyFont="1" applyFill="1" applyBorder="1" applyAlignment="1" applyProtection="1">
      <alignment horizontal="left" indent="1"/>
      <protection locked="0"/>
    </xf>
    <xf numFmtId="170" fontId="17" fillId="6" borderId="3" xfId="2" applyNumberFormat="1" applyFont="1" applyFill="1" applyBorder="1" applyAlignment="1" applyProtection="1">
      <alignment horizontal="left" indent="1"/>
      <protection locked="0"/>
    </xf>
    <xf numFmtId="176" fontId="16" fillId="6" borderId="4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6" borderId="7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 applyProtection="1"/>
    <xf numFmtId="0" fontId="14" fillId="0" borderId="0" xfId="0" applyFont="1" applyBorder="1" applyAlignment="1">
      <alignment horizontal="center"/>
    </xf>
    <xf numFmtId="170" fontId="10" fillId="5" borderId="0" xfId="0" applyNumberFormat="1" applyFont="1" applyFill="1" applyBorder="1" applyAlignment="1">
      <alignment horizontal="center" vertical="center"/>
    </xf>
  </cellXfs>
  <cellStyles count="3">
    <cellStyle name="Neutro" xfId="2" builtinId="28"/>
    <cellStyle name="Normal" xfId="0" builtinId="0"/>
    <cellStyle name="Título 1" xfId="1" builtinId="16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 Light"/>
        <family val="2"/>
        <scheme val="none"/>
      </font>
      <numFmt numFmtId="170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9"/>
        <name val="Segoe UI Blac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249977111117893"/>
        <name val="Segoe UI"/>
        <family val="2"/>
        <scheme val="none"/>
      </font>
      <numFmt numFmtId="176" formatCode="mm/yyyy"/>
      <alignment horizontal="center" vertical="center" textRotation="0" wrapText="0" indent="0" justifyLastLine="0" shrinkToFit="0" readingOrder="0"/>
      <border diagonalUp="0" diagonalDown="0">
        <left/>
        <right style="thin">
          <color theme="1" tint="0.34998626667073579"/>
        </right>
        <top style="thick">
          <color theme="0" tint="-0.24994659260841701"/>
        </top>
        <bottom style="thick">
          <color theme="0" tint="-0.24994659260841701"/>
        </bottom>
        <vertical style="thin">
          <color theme="1" tint="0.34998626667073579"/>
        </vertical>
        <horizontal style="thick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249977111117893"/>
        <name val="Segoe UI"/>
        <family val="2"/>
        <scheme val="none"/>
      </font>
      <numFmt numFmtId="170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theme="1" tint="0.34998626667073579"/>
        </left>
        <right/>
        <top style="thick">
          <color theme="0" tint="-0.24994659260841701"/>
        </top>
        <bottom style="thick">
          <color theme="0" tint="-0.24994659260841701"/>
        </bottom>
        <vertical style="thin">
          <color theme="1" tint="0.34998626667073579"/>
        </vertical>
        <horizontal style="thick">
          <color theme="0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5" tint="-0.249977111117893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ck">
          <color theme="0" tint="-0.24994659260841701"/>
        </top>
        <bottom style="thick">
          <color theme="0" tint="-0.24994659260841701"/>
        </bottom>
        <vertical style="thin">
          <color theme="1" tint="0.34998626667073579"/>
        </vertical>
        <horizontal style="thick">
          <color theme="0" tint="-0.24994659260841701"/>
        </horizontal>
      </border>
    </dxf>
    <dxf>
      <font>
        <strike val="0"/>
        <outline val="0"/>
        <shadow val="0"/>
        <u val="none"/>
        <vertAlign val="baseline"/>
        <sz val="14"/>
        <color theme="5" tint="-0.249977111117893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66FF33"/>
      <color rgb="FFEDF8CA"/>
      <color rgb="FFF2F9DF"/>
      <color rgb="FFE2F5DB"/>
      <color rgb="FF0E1317"/>
      <color rgb="FFFF3399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INFORME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INFORME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1</xdr:row>
      <xdr:rowOff>147320</xdr:rowOff>
    </xdr:from>
    <xdr:to>
      <xdr:col>0</xdr:col>
      <xdr:colOff>1920240</xdr:colOff>
      <xdr:row>7</xdr:row>
      <xdr:rowOff>40640</xdr:rowOff>
    </xdr:to>
    <xdr:pic>
      <xdr:nvPicPr>
        <xdr:cNvPr id="5" name="Imagem 4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8F30C09D-7435-730A-D63D-90ACAA7AC5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281940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F05516C-0A06-46A1-84B0-E0E352EAFF40}"/>
            </a:ext>
          </a:extLst>
        </xdr:cNvPr>
        <xdr:cNvSpPr/>
      </xdr:nvSpPr>
      <xdr:spPr>
        <a:xfrm>
          <a:off x="0" y="0"/>
          <a:ext cx="220980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 editAs="absolute">
    <xdr:from>
      <xdr:col>0</xdr:col>
      <xdr:colOff>526222</xdr:colOff>
      <xdr:row>12</xdr:row>
      <xdr:rowOff>251460</xdr:rowOff>
    </xdr:from>
    <xdr:to>
      <xdr:col>0</xdr:col>
      <xdr:colOff>2195002</xdr:colOff>
      <xdr:row>14</xdr:row>
      <xdr:rowOff>116840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513626-13EC-411A-8DCC-A84A04409218}"/>
            </a:ext>
          </a:extLst>
        </xdr:cNvPr>
        <xdr:cNvSpPr/>
      </xdr:nvSpPr>
      <xdr:spPr>
        <a:xfrm>
          <a:off x="526222" y="4345940"/>
          <a:ext cx="1668780" cy="495300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10160</xdr:colOff>
      <xdr:row>16</xdr:row>
      <xdr:rowOff>132080</xdr:rowOff>
    </xdr:from>
    <xdr:to>
      <xdr:col>1</xdr:col>
      <xdr:colOff>0</xdr:colOff>
      <xdr:row>18</xdr:row>
      <xdr:rowOff>50800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C398E13-4D06-1A53-0A25-D78E66A5A5CF}"/>
            </a:ext>
          </a:extLst>
        </xdr:cNvPr>
        <xdr:cNvSpPr/>
      </xdr:nvSpPr>
      <xdr:spPr>
        <a:xfrm>
          <a:off x="10160" y="5486400"/>
          <a:ext cx="22047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Zanluck</a:t>
          </a:r>
        </a:p>
      </xdr:txBody>
    </xdr:sp>
    <xdr:clientData/>
  </xdr:twoCellAnchor>
  <xdr:twoCellAnchor editAs="absolute">
    <xdr:from>
      <xdr:col>0</xdr:col>
      <xdr:colOff>216673</xdr:colOff>
      <xdr:row>16</xdr:row>
      <xdr:rowOff>91882</xdr:rowOff>
    </xdr:from>
    <xdr:to>
      <xdr:col>0</xdr:col>
      <xdr:colOff>2038847</xdr:colOff>
      <xdr:row>16</xdr:row>
      <xdr:rowOff>91882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DBBAFE91-8EEB-A5AA-EFDF-CFBC35017830}"/>
            </a:ext>
          </a:extLst>
        </xdr:cNvPr>
        <xdr:cNvCxnSpPr/>
      </xdr:nvCxnSpPr>
      <xdr:spPr>
        <a:xfrm>
          <a:off x="216673" y="544620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2915920</xdr:colOff>
      <xdr:row>21</xdr:row>
      <xdr:rowOff>142240</xdr:rowOff>
    </xdr:from>
    <xdr:to>
      <xdr:col>4</xdr:col>
      <xdr:colOff>0</xdr:colOff>
      <xdr:row>23</xdr:row>
      <xdr:rowOff>40640</xdr:rowOff>
    </xdr:to>
    <xdr:sp macro="" textlink="">
      <xdr:nvSpPr>
        <xdr:cNvPr id="2" name="Retângulo: Canto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FCA3E6-D53B-8569-8DAD-6D2BBEC63A40}"/>
            </a:ext>
          </a:extLst>
        </xdr:cNvPr>
        <xdr:cNvSpPr/>
      </xdr:nvSpPr>
      <xdr:spPr>
        <a:xfrm>
          <a:off x="9977120" y="7071360"/>
          <a:ext cx="2113280" cy="528320"/>
        </a:xfrm>
        <a:prstGeom prst="roundRect">
          <a:avLst/>
        </a:prstGeom>
        <a:gradFill flip="none" rotWithShape="1">
          <a:gsLst>
            <a:gs pos="53800">
              <a:srgbClr val="66FF33"/>
            </a:gs>
            <a:gs pos="0">
              <a:schemeClr val="bg1"/>
            </a:gs>
            <a:gs pos="100000">
              <a:schemeClr val="accent3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600" baseline="0">
              <a:solidFill>
                <a:schemeClr val="bg1"/>
              </a:solidFill>
              <a:latin typeface="+mn-lt"/>
              <a:ea typeface="+mn-ea"/>
            </a:rPr>
            <a:t> </a:t>
          </a:r>
          <a:r>
            <a:rPr lang="pt-BR" sz="16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PRÓXIMO</a:t>
          </a:r>
          <a:r>
            <a:rPr lang="pt-BR" sz="1600"/>
            <a:t> </a:t>
          </a:r>
        </a:p>
      </xdr:txBody>
    </xdr:sp>
    <xdr:clientData/>
  </xdr:twoCellAnchor>
  <xdr:twoCellAnchor editAs="oneCell">
    <xdr:from>
      <xdr:col>3</xdr:col>
      <xdr:colOff>4582160</xdr:colOff>
      <xdr:row>21</xdr:row>
      <xdr:rowOff>247084</xdr:rowOff>
    </xdr:from>
    <xdr:to>
      <xdr:col>3</xdr:col>
      <xdr:colOff>4856480</xdr:colOff>
      <xdr:row>22</xdr:row>
      <xdr:rowOff>271415</xdr:rowOff>
    </xdr:to>
    <xdr:pic>
      <xdr:nvPicPr>
        <xdr:cNvPr id="4" name="Gráfico 3" descr="Seta para Direita com preenchimento sólido">
          <a:extLst>
            <a:ext uri="{FF2B5EF4-FFF2-40B4-BE49-F238E27FC236}">
              <a16:creationId xmlns:a16="http://schemas.microsoft.com/office/drawing/2014/main" id="{31976FCF-A892-C756-E967-8A6D5FA5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643360" y="7176204"/>
          <a:ext cx="274320" cy="339291"/>
        </a:xfrm>
        <a:prstGeom prst="rect">
          <a:avLst/>
        </a:prstGeom>
      </xdr:spPr>
    </xdr:pic>
    <xdr:clientData/>
  </xdr:twoCellAnchor>
  <xdr:twoCellAnchor editAs="absolute">
    <xdr:from>
      <xdr:col>0</xdr:col>
      <xdr:colOff>528320</xdr:colOff>
      <xdr:row>8</xdr:row>
      <xdr:rowOff>111760</xdr:rowOff>
    </xdr:from>
    <xdr:to>
      <xdr:col>0</xdr:col>
      <xdr:colOff>2197100</xdr:colOff>
      <xdr:row>9</xdr:row>
      <xdr:rowOff>296959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F33A03-5E26-4CB7-A5CD-ACAA362E7BE9}"/>
            </a:ext>
          </a:extLst>
        </xdr:cNvPr>
        <xdr:cNvSpPr/>
      </xdr:nvSpPr>
      <xdr:spPr>
        <a:xfrm>
          <a:off x="528320" y="2946400"/>
          <a:ext cx="1668780" cy="500159"/>
        </a:xfrm>
        <a:prstGeom prst="roundRect">
          <a:avLst/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rgbClr val="66FF33"/>
          </a:solidFill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529645</xdr:colOff>
      <xdr:row>10</xdr:row>
      <xdr:rowOff>178077</xdr:rowOff>
    </xdr:from>
    <xdr:to>
      <xdr:col>0</xdr:col>
      <xdr:colOff>2198425</xdr:colOff>
      <xdr:row>12</xdr:row>
      <xdr:rowOff>43457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110877-B914-4B49-94FC-FC053838EC4F}"/>
            </a:ext>
          </a:extLst>
        </xdr:cNvPr>
        <xdr:cNvSpPr/>
      </xdr:nvSpPr>
      <xdr:spPr>
        <a:xfrm>
          <a:off x="529645" y="3642637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1</xdr:row>
      <xdr:rowOff>147320</xdr:rowOff>
    </xdr:from>
    <xdr:to>
      <xdr:col>0</xdr:col>
      <xdr:colOff>1920240</xdr:colOff>
      <xdr:row>7</xdr:row>
      <xdr:rowOff>233680</xdr:rowOff>
    </xdr:to>
    <xdr:pic>
      <xdr:nvPicPr>
        <xdr:cNvPr id="55" name="Imagem 54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B3F83EAE-7EE5-465F-9CC6-ABFDD98541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281940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12A56964-2A23-4D57-8856-958AD753BA1F}"/>
            </a:ext>
          </a:extLst>
        </xdr:cNvPr>
        <xdr:cNvSpPr/>
      </xdr:nvSpPr>
      <xdr:spPr>
        <a:xfrm>
          <a:off x="0" y="0"/>
          <a:ext cx="221488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 editAs="absolute">
    <xdr:from>
      <xdr:col>0</xdr:col>
      <xdr:colOff>526222</xdr:colOff>
      <xdr:row>13</xdr:row>
      <xdr:rowOff>129540</xdr:rowOff>
    </xdr:from>
    <xdr:to>
      <xdr:col>0</xdr:col>
      <xdr:colOff>2195002</xdr:colOff>
      <xdr:row>14</xdr:row>
      <xdr:rowOff>309880</xdr:rowOff>
    </xdr:to>
    <xdr:sp macro="" textlink="">
      <xdr:nvSpPr>
        <xdr:cNvPr id="57" name="Retângulo: Cantos Arredondados 5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AF70BA-8BA0-45B8-AD59-FD14597BFBF0}"/>
            </a:ext>
          </a:extLst>
        </xdr:cNvPr>
        <xdr:cNvSpPr/>
      </xdr:nvSpPr>
      <xdr:spPr>
        <a:xfrm>
          <a:off x="526222" y="4345940"/>
          <a:ext cx="1668780" cy="495300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10160</xdr:colOff>
      <xdr:row>17</xdr:row>
      <xdr:rowOff>10160</xdr:rowOff>
    </xdr:from>
    <xdr:to>
      <xdr:col>1</xdr:col>
      <xdr:colOff>0</xdr:colOff>
      <xdr:row>18</xdr:row>
      <xdr:rowOff>243840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83D64584-A992-440A-9820-0700B22B8C96}"/>
            </a:ext>
          </a:extLst>
        </xdr:cNvPr>
        <xdr:cNvSpPr/>
      </xdr:nvSpPr>
      <xdr:spPr>
        <a:xfrm>
          <a:off x="10160" y="5486400"/>
          <a:ext cx="22047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Zanluck</a:t>
          </a:r>
        </a:p>
      </xdr:txBody>
    </xdr:sp>
    <xdr:clientData/>
  </xdr:twoCellAnchor>
  <xdr:twoCellAnchor editAs="absolute">
    <xdr:from>
      <xdr:col>0</xdr:col>
      <xdr:colOff>216673</xdr:colOff>
      <xdr:row>16</xdr:row>
      <xdr:rowOff>284922</xdr:rowOff>
    </xdr:from>
    <xdr:to>
      <xdr:col>0</xdr:col>
      <xdr:colOff>2038847</xdr:colOff>
      <xdr:row>16</xdr:row>
      <xdr:rowOff>284922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E85150A9-E4ED-4844-8289-6A5248C3D6E1}"/>
            </a:ext>
          </a:extLst>
        </xdr:cNvPr>
        <xdr:cNvCxnSpPr/>
      </xdr:nvCxnSpPr>
      <xdr:spPr>
        <a:xfrm>
          <a:off x="216673" y="544620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2915920</xdr:colOff>
      <xdr:row>22</xdr:row>
      <xdr:rowOff>20320</xdr:rowOff>
    </xdr:from>
    <xdr:to>
      <xdr:col>4</xdr:col>
      <xdr:colOff>0</xdr:colOff>
      <xdr:row>23</xdr:row>
      <xdr:rowOff>233680</xdr:rowOff>
    </xdr:to>
    <xdr:sp macro="" textlink="">
      <xdr:nvSpPr>
        <xdr:cNvPr id="60" name="Retângulo: Cantos Arredondados 5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C2B2CC-CA15-4B79-B175-02551E4EA42E}"/>
            </a:ext>
          </a:extLst>
        </xdr:cNvPr>
        <xdr:cNvSpPr/>
      </xdr:nvSpPr>
      <xdr:spPr>
        <a:xfrm>
          <a:off x="9977120" y="7071360"/>
          <a:ext cx="2113280" cy="528320"/>
        </a:xfrm>
        <a:prstGeom prst="roundRect">
          <a:avLst/>
        </a:prstGeom>
        <a:gradFill flip="none" rotWithShape="1">
          <a:gsLst>
            <a:gs pos="53800">
              <a:srgbClr val="66FF33"/>
            </a:gs>
            <a:gs pos="0">
              <a:schemeClr val="bg1"/>
            </a:gs>
            <a:gs pos="100000">
              <a:schemeClr val="accent3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600" baseline="0">
              <a:solidFill>
                <a:schemeClr val="bg1"/>
              </a:solidFill>
              <a:latin typeface="+mn-lt"/>
              <a:ea typeface="+mn-ea"/>
            </a:rPr>
            <a:t> </a:t>
          </a:r>
          <a:r>
            <a:rPr lang="pt-BR" sz="16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PRÓXIMO</a:t>
          </a:r>
          <a:r>
            <a:rPr lang="pt-BR" sz="1600"/>
            <a:t> </a:t>
          </a:r>
        </a:p>
      </xdr:txBody>
    </xdr:sp>
    <xdr:clientData/>
  </xdr:twoCellAnchor>
  <xdr:twoCellAnchor editAs="absolute">
    <xdr:from>
      <xdr:col>3</xdr:col>
      <xdr:colOff>4582160</xdr:colOff>
      <xdr:row>19</xdr:row>
      <xdr:rowOff>33724</xdr:rowOff>
    </xdr:from>
    <xdr:to>
      <xdr:col>3</xdr:col>
      <xdr:colOff>4856480</xdr:colOff>
      <xdr:row>20</xdr:row>
      <xdr:rowOff>58055</xdr:rowOff>
    </xdr:to>
    <xdr:pic>
      <xdr:nvPicPr>
        <xdr:cNvPr id="61" name="Gráfico 60" descr="Seta para Direita com preenchimento sólido">
          <a:extLst>
            <a:ext uri="{FF2B5EF4-FFF2-40B4-BE49-F238E27FC236}">
              <a16:creationId xmlns:a16="http://schemas.microsoft.com/office/drawing/2014/main" id="{9D02E0FE-D73D-43CD-838D-DB659575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643360" y="6139884"/>
          <a:ext cx="274320" cy="339291"/>
        </a:xfrm>
        <a:prstGeom prst="rect">
          <a:avLst/>
        </a:prstGeom>
      </xdr:spPr>
    </xdr:pic>
    <xdr:clientData/>
  </xdr:twoCellAnchor>
  <xdr:twoCellAnchor editAs="absolute">
    <xdr:from>
      <xdr:col>0</xdr:col>
      <xdr:colOff>528320</xdr:colOff>
      <xdr:row>8</xdr:row>
      <xdr:rowOff>304800</xdr:rowOff>
    </xdr:from>
    <xdr:to>
      <xdr:col>0</xdr:col>
      <xdr:colOff>2197100</xdr:colOff>
      <xdr:row>10</xdr:row>
      <xdr:rowOff>175039</xdr:rowOff>
    </xdr:to>
    <xdr:sp macro="" textlink="">
      <xdr:nvSpPr>
        <xdr:cNvPr id="62" name="Retângulo: Cantos Arredondados 6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6F892D-0AF6-4917-95AE-22EB1523511D}"/>
            </a:ext>
          </a:extLst>
        </xdr:cNvPr>
        <xdr:cNvSpPr/>
      </xdr:nvSpPr>
      <xdr:spPr>
        <a:xfrm>
          <a:off x="528320" y="2946400"/>
          <a:ext cx="1668780" cy="500159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529645</xdr:colOff>
      <xdr:row>11</xdr:row>
      <xdr:rowOff>56157</xdr:rowOff>
    </xdr:from>
    <xdr:to>
      <xdr:col>0</xdr:col>
      <xdr:colOff>2198425</xdr:colOff>
      <xdr:row>12</xdr:row>
      <xdr:rowOff>236497</xdr:rowOff>
    </xdr:to>
    <xdr:sp macro="" textlink="">
      <xdr:nvSpPr>
        <xdr:cNvPr id="63" name="Retângulo: Cantos Arredondados 6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7CAA19-60F7-4684-A204-38A58B873469}"/>
            </a:ext>
          </a:extLst>
        </xdr:cNvPr>
        <xdr:cNvSpPr/>
      </xdr:nvSpPr>
      <xdr:spPr>
        <a:xfrm>
          <a:off x="529645" y="3642637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rgbClr val="66FF33"/>
          </a:solidFill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3</xdr:col>
      <xdr:colOff>863600</xdr:colOff>
      <xdr:row>22</xdr:row>
      <xdr:rowOff>20320</xdr:rowOff>
    </xdr:from>
    <xdr:to>
      <xdr:col>3</xdr:col>
      <xdr:colOff>2976880</xdr:colOff>
      <xdr:row>23</xdr:row>
      <xdr:rowOff>233680</xdr:rowOff>
    </xdr:to>
    <xdr:sp macro="" textlink="">
      <xdr:nvSpPr>
        <xdr:cNvPr id="64" name="Retângulo: Cantos Arredondados 6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D08D0DB-1F29-43FB-AB24-7E57DA367F9C}"/>
            </a:ext>
          </a:extLst>
        </xdr:cNvPr>
        <xdr:cNvSpPr/>
      </xdr:nvSpPr>
      <xdr:spPr>
        <a:xfrm>
          <a:off x="7924800" y="7071360"/>
          <a:ext cx="2113280" cy="528320"/>
        </a:xfrm>
        <a:prstGeom prst="roundRect">
          <a:avLst/>
        </a:prstGeom>
        <a:gradFill flip="none" rotWithShape="1">
          <a:gsLst>
            <a:gs pos="53800">
              <a:srgbClr val="66FF33"/>
            </a:gs>
            <a:gs pos="0">
              <a:schemeClr val="bg1"/>
            </a:gs>
            <a:gs pos="100000">
              <a:schemeClr val="accent3">
                <a:lumMod val="75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6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ANTERIOR</a:t>
          </a:r>
          <a:endParaRPr lang="pt-BR" sz="16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1</xdr:row>
      <xdr:rowOff>147320</xdr:rowOff>
    </xdr:from>
    <xdr:to>
      <xdr:col>0</xdr:col>
      <xdr:colOff>1920240</xdr:colOff>
      <xdr:row>7</xdr:row>
      <xdr:rowOff>193040</xdr:rowOff>
    </xdr:to>
    <xdr:pic>
      <xdr:nvPicPr>
        <xdr:cNvPr id="17" name="Imagem 16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39B6C2AC-470D-4FA3-8A7B-3E1034794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281940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8372C59B-628D-43B6-8836-D122BA9EA20F}"/>
            </a:ext>
          </a:extLst>
        </xdr:cNvPr>
        <xdr:cNvSpPr/>
      </xdr:nvSpPr>
      <xdr:spPr>
        <a:xfrm>
          <a:off x="0" y="0"/>
          <a:ext cx="221488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 editAs="absolute">
    <xdr:from>
      <xdr:col>0</xdr:col>
      <xdr:colOff>526222</xdr:colOff>
      <xdr:row>13</xdr:row>
      <xdr:rowOff>88900</xdr:rowOff>
    </xdr:from>
    <xdr:to>
      <xdr:col>0</xdr:col>
      <xdr:colOff>2195002</xdr:colOff>
      <xdr:row>14</xdr:row>
      <xdr:rowOff>269240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30D6DE-846C-42AF-8510-3F94F28E6FD4}"/>
            </a:ext>
          </a:extLst>
        </xdr:cNvPr>
        <xdr:cNvSpPr/>
      </xdr:nvSpPr>
      <xdr:spPr>
        <a:xfrm>
          <a:off x="526222" y="4345940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rgbClr val="66FF33"/>
          </a:solidFill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10160</xdr:colOff>
      <xdr:row>16</xdr:row>
      <xdr:rowOff>284480</xdr:rowOff>
    </xdr:from>
    <xdr:to>
      <xdr:col>1</xdr:col>
      <xdr:colOff>0</xdr:colOff>
      <xdr:row>18</xdr:row>
      <xdr:rowOff>203200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3DD2AFA-D7CF-477D-B6DC-0FA706100C31}"/>
            </a:ext>
          </a:extLst>
        </xdr:cNvPr>
        <xdr:cNvSpPr/>
      </xdr:nvSpPr>
      <xdr:spPr>
        <a:xfrm>
          <a:off x="10160" y="5486400"/>
          <a:ext cx="22047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Zanluck</a:t>
          </a:r>
        </a:p>
      </xdr:txBody>
    </xdr:sp>
    <xdr:clientData/>
  </xdr:twoCellAnchor>
  <xdr:twoCellAnchor editAs="absolute">
    <xdr:from>
      <xdr:col>0</xdr:col>
      <xdr:colOff>216673</xdr:colOff>
      <xdr:row>16</xdr:row>
      <xdr:rowOff>244282</xdr:rowOff>
    </xdr:from>
    <xdr:to>
      <xdr:col>0</xdr:col>
      <xdr:colOff>2038847</xdr:colOff>
      <xdr:row>16</xdr:row>
      <xdr:rowOff>244282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E2DD6EC-416B-43ED-B86E-711321F47FDB}"/>
            </a:ext>
          </a:extLst>
        </xdr:cNvPr>
        <xdr:cNvCxnSpPr/>
      </xdr:nvCxnSpPr>
      <xdr:spPr>
        <a:xfrm>
          <a:off x="216673" y="544620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193040</xdr:colOff>
      <xdr:row>18</xdr:row>
      <xdr:rowOff>308044</xdr:rowOff>
    </xdr:from>
    <xdr:to>
      <xdr:col>11</xdr:col>
      <xdr:colOff>467360</xdr:colOff>
      <xdr:row>20</xdr:row>
      <xdr:rowOff>17415</xdr:rowOff>
    </xdr:to>
    <xdr:pic>
      <xdr:nvPicPr>
        <xdr:cNvPr id="23" name="Gráfico 22" descr="Seta para Direita com preenchimento sólido">
          <a:extLst>
            <a:ext uri="{FF2B5EF4-FFF2-40B4-BE49-F238E27FC236}">
              <a16:creationId xmlns:a16="http://schemas.microsoft.com/office/drawing/2014/main" id="{81037A33-F728-4085-BB32-17A696B9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643360" y="6139884"/>
          <a:ext cx="274320" cy="339291"/>
        </a:xfrm>
        <a:prstGeom prst="rect">
          <a:avLst/>
        </a:prstGeom>
      </xdr:spPr>
    </xdr:pic>
    <xdr:clientData/>
  </xdr:twoCellAnchor>
  <xdr:twoCellAnchor editAs="absolute">
    <xdr:from>
      <xdr:col>0</xdr:col>
      <xdr:colOff>528320</xdr:colOff>
      <xdr:row>8</xdr:row>
      <xdr:rowOff>264160</xdr:rowOff>
    </xdr:from>
    <xdr:to>
      <xdr:col>0</xdr:col>
      <xdr:colOff>2197100</xdr:colOff>
      <xdr:row>10</xdr:row>
      <xdr:rowOff>134399</xdr:rowOff>
    </xdr:to>
    <xdr:sp macro="" textlink="">
      <xdr:nvSpPr>
        <xdr:cNvPr id="24" name="Retângulo: Cantos Arredondados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B5E67C-A126-4A3E-8A34-29A9C8A6CF45}"/>
            </a:ext>
          </a:extLst>
        </xdr:cNvPr>
        <xdr:cNvSpPr/>
      </xdr:nvSpPr>
      <xdr:spPr>
        <a:xfrm>
          <a:off x="528320" y="2946400"/>
          <a:ext cx="1668780" cy="500159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529645</xdr:colOff>
      <xdr:row>11</xdr:row>
      <xdr:rowOff>15517</xdr:rowOff>
    </xdr:from>
    <xdr:to>
      <xdr:col>0</xdr:col>
      <xdr:colOff>2198425</xdr:colOff>
      <xdr:row>12</xdr:row>
      <xdr:rowOff>195857</xdr:rowOff>
    </xdr:to>
    <xdr:sp macro="" textlink="">
      <xdr:nvSpPr>
        <xdr:cNvPr id="25" name="Retângulo: Cantos Arredondados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0EAAAC-2806-4601-8285-4A7793ACF020}"/>
            </a:ext>
          </a:extLst>
        </xdr:cNvPr>
        <xdr:cNvSpPr/>
      </xdr:nvSpPr>
      <xdr:spPr>
        <a:xfrm>
          <a:off x="529645" y="3642637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5</xdr:col>
      <xdr:colOff>132080</xdr:colOff>
      <xdr:row>21</xdr:row>
      <xdr:rowOff>304800</xdr:rowOff>
    </xdr:from>
    <xdr:to>
      <xdr:col>8</xdr:col>
      <xdr:colOff>416560</xdr:colOff>
      <xdr:row>23</xdr:row>
      <xdr:rowOff>203200</xdr:rowOff>
    </xdr:to>
    <xdr:sp macro="" textlink="">
      <xdr:nvSpPr>
        <xdr:cNvPr id="27" name="Retângulo: Cantos Arredondado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D1F119-632B-4786-884F-B5CA44AD2455}"/>
            </a:ext>
          </a:extLst>
        </xdr:cNvPr>
        <xdr:cNvSpPr/>
      </xdr:nvSpPr>
      <xdr:spPr>
        <a:xfrm>
          <a:off x="7924800" y="7081520"/>
          <a:ext cx="2113280" cy="528320"/>
        </a:xfrm>
        <a:prstGeom prst="roundRect">
          <a:avLst/>
        </a:prstGeom>
        <a:gradFill flip="none" rotWithShape="1">
          <a:gsLst>
            <a:gs pos="53800">
              <a:srgbClr val="66FF33"/>
            </a:gs>
            <a:gs pos="0">
              <a:schemeClr val="bg1"/>
            </a:gs>
            <a:gs pos="100000">
              <a:schemeClr val="accent3">
                <a:lumMod val="75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6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ANTERIOR</a:t>
          </a:r>
          <a:endParaRPr lang="pt-BR" sz="16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2DCD68-F5A4-4A9C-AAA6-BC5237C0E884}" name="tbl_Notas_Bancarias" displayName="tbl_Notas_Bancarias" ref="C7:E22" totalsRowCount="1" headerRowDxfId="8" dataDxfId="7" totalsRowDxfId="3">
  <autoFilter ref="C7:E21" xr:uid="{532DCD68-F5A4-4A9C-AAA6-BC5237C0E884}"/>
  <tableColumns count="3">
    <tableColumn id="1" xr3:uid="{149C5035-D599-474D-9171-4433CA8BEDF8}" name="Data" totalsRowLabel="TOTAL" dataDxfId="4" totalsRowDxfId="2"/>
    <tableColumn id="2" xr3:uid="{9F1993F6-0210-465A-867B-D57E886F1CE6}" name="Categoria" dataDxfId="6" totalsRowDxfId="1" dataCellStyle="Normal"/>
    <tableColumn id="3" xr3:uid="{F0C3C3D5-4757-4EAD-AB0C-28471DEC1053}" name="Valor" totalsRowFunction="sum" dataDxfId="5" totalsRow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CA2E7-41D3-4B7D-803A-F40F737322DF}" name="LISTA_BANCOS" displayName="LISTA_BANCOS" ref="B1:B52" totalsRowCount="1" headerRowDxfId="10" dataDxfId="11">
  <autoFilter ref="B1:B51" xr:uid="{302CA2E7-41D3-4B7D-803A-F40F737322DF}"/>
  <sortState xmlns:xlrd2="http://schemas.microsoft.com/office/spreadsheetml/2017/richdata2" ref="B2:B51">
    <sortCondition ref="B1:B51"/>
  </sortState>
  <tableColumns count="1">
    <tableColumn id="1" xr3:uid="{3D3A8084-D1B3-422E-99F3-08870B30BB4A}" name="BANCOS" totalsRowFunction="count" dataDxfId="12" totalsRow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fael@ms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3973-924A-4AE2-8420-0F4F55AB42D9}">
  <dimension ref="A1:E24"/>
  <sheetViews>
    <sheetView showGridLines="0" showRowColHeaders="0" tabSelected="1" zoomScale="7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2.21875" style="1" customWidth="1"/>
    <col min="2" max="2" width="14.21875" customWidth="1"/>
    <col min="3" max="3" width="56.44140625" bestFit="1" customWidth="1"/>
    <col min="4" max="4" width="73.33203125" customWidth="1"/>
  </cols>
  <sheetData>
    <row r="1" spans="3:5" ht="49.95" customHeight="1" x14ac:dyDescent="0.3"/>
    <row r="2" spans="3:5" ht="25.05" customHeight="1" thickBot="1" x14ac:dyDescent="0.7">
      <c r="C2" s="5" t="s">
        <v>21</v>
      </c>
      <c r="D2" s="2"/>
      <c r="E2" s="2"/>
    </row>
    <row r="3" spans="3:5" ht="25.05" customHeight="1" thickTop="1" x14ac:dyDescent="0.3">
      <c r="C3" s="6" t="s">
        <v>22</v>
      </c>
      <c r="D3" s="6"/>
      <c r="E3" s="6"/>
    </row>
    <row r="4" spans="3:5" ht="25.05" customHeight="1" x14ac:dyDescent="0.4">
      <c r="C4" s="3"/>
      <c r="D4" s="3"/>
      <c r="E4" s="3"/>
    </row>
    <row r="5" spans="3:5" ht="25.05" customHeight="1" x14ac:dyDescent="0.4">
      <c r="C5" s="4"/>
      <c r="D5" s="3"/>
      <c r="E5" s="3"/>
    </row>
    <row r="6" spans="3:5" ht="25.05" customHeight="1" x14ac:dyDescent="0.45">
      <c r="C6" s="7" t="s">
        <v>0</v>
      </c>
      <c r="D6" s="27" t="s">
        <v>16</v>
      </c>
      <c r="E6" s="3"/>
    </row>
    <row r="7" spans="3:5" ht="25.05" customHeight="1" x14ac:dyDescent="0.45">
      <c r="C7" s="7" t="s">
        <v>1</v>
      </c>
      <c r="D7" s="28">
        <v>12345678910</v>
      </c>
      <c r="E7" s="3"/>
    </row>
    <row r="8" spans="3:5" ht="25.05" customHeight="1" x14ac:dyDescent="0.45">
      <c r="C8" s="7" t="s">
        <v>2</v>
      </c>
      <c r="D8" s="29">
        <v>31651</v>
      </c>
      <c r="E8" s="3"/>
    </row>
    <row r="9" spans="3:5" ht="25.05" customHeight="1" x14ac:dyDescent="0.45">
      <c r="C9" s="7" t="s">
        <v>3</v>
      </c>
      <c r="D9" s="27">
        <v>32132145638</v>
      </c>
      <c r="E9" s="3"/>
    </row>
    <row r="10" spans="3:5" ht="25.05" customHeight="1" x14ac:dyDescent="0.45">
      <c r="C10" s="7" t="s">
        <v>4</v>
      </c>
      <c r="D10" s="27" t="s">
        <v>17</v>
      </c>
      <c r="E10" s="3"/>
    </row>
    <row r="11" spans="3:5" ht="25.05" customHeight="1" x14ac:dyDescent="0.45">
      <c r="C11" s="7" t="s">
        <v>5</v>
      </c>
      <c r="D11" s="27" t="s">
        <v>18</v>
      </c>
      <c r="E11" s="3"/>
    </row>
    <row r="12" spans="3:5" ht="25.05" customHeight="1" x14ac:dyDescent="0.45">
      <c r="C12" s="7" t="s">
        <v>6</v>
      </c>
      <c r="D12" s="27" t="s">
        <v>19</v>
      </c>
      <c r="E12" s="3"/>
    </row>
    <row r="13" spans="3:5" ht="25.05" customHeight="1" x14ac:dyDescent="0.45">
      <c r="C13" s="7" t="s">
        <v>7</v>
      </c>
      <c r="D13" s="30">
        <v>12345999</v>
      </c>
      <c r="E13" s="3"/>
    </row>
    <row r="14" spans="3:5" ht="25.05" customHeight="1" x14ac:dyDescent="0.45">
      <c r="C14" s="7" t="s">
        <v>8</v>
      </c>
      <c r="D14" s="31">
        <v>1943211234</v>
      </c>
      <c r="E14" s="3"/>
    </row>
    <row r="15" spans="3:5" ht="25.05" customHeight="1" x14ac:dyDescent="0.45">
      <c r="C15" s="7" t="s">
        <v>9</v>
      </c>
      <c r="D15" s="32">
        <v>19987654321</v>
      </c>
      <c r="E15" s="3"/>
    </row>
    <row r="16" spans="3:5" ht="25.05" customHeight="1" x14ac:dyDescent="0.45">
      <c r="C16" s="7" t="s">
        <v>10</v>
      </c>
      <c r="D16" s="27" t="s">
        <v>20</v>
      </c>
      <c r="E16" s="3"/>
    </row>
    <row r="17" spans="3:5" ht="25.05" customHeight="1" x14ac:dyDescent="0.45">
      <c r="C17" s="7" t="s">
        <v>11</v>
      </c>
      <c r="D17" s="27" t="s">
        <v>12</v>
      </c>
      <c r="E17" s="3"/>
    </row>
    <row r="18" spans="3:5" ht="25.05" customHeight="1" x14ac:dyDescent="0.45">
      <c r="C18" s="7" t="s">
        <v>13</v>
      </c>
      <c r="D18" s="27" t="s">
        <v>12</v>
      </c>
      <c r="E18" s="3"/>
    </row>
    <row r="19" spans="3:5" ht="25.05" customHeight="1" x14ac:dyDescent="0.45">
      <c r="C19" s="7" t="s">
        <v>15</v>
      </c>
      <c r="D19" s="27" t="s">
        <v>14</v>
      </c>
      <c r="E19" s="3"/>
    </row>
    <row r="20" spans="3:5" ht="25.05" customHeight="1" x14ac:dyDescent="0.3"/>
    <row r="21" spans="3:5" ht="25.05" customHeight="1" x14ac:dyDescent="0.3"/>
    <row r="22" spans="3:5" ht="25.05" customHeight="1" x14ac:dyDescent="0.3"/>
    <row r="23" spans="3:5" ht="25.05" customHeight="1" x14ac:dyDescent="0.3"/>
    <row r="24" spans="3:5" ht="25.05" customHeight="1" x14ac:dyDescent="0.3"/>
  </sheetData>
  <mergeCells count="1">
    <mergeCell ref="C3:E3"/>
  </mergeCells>
  <dataValidations disablePrompts="1" count="1">
    <dataValidation type="list" allowBlank="1" showInputMessage="1" showErrorMessage="1" sqref="D17:D19" xr:uid="{EDCF0803-190C-4D32-B38A-59F21CFEEC28}">
      <formula1>"SIM,NÃO"</formula1>
    </dataValidation>
  </dataValidations>
  <hyperlinks>
    <hyperlink ref="D16" r:id="rId1" xr:uid="{C210B395-9665-452E-9E85-78BE3ADF465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7F68-8A0A-46B0-8123-C8F39D4DA206}">
  <dimension ref="A1:E29"/>
  <sheetViews>
    <sheetView showGridLines="0" showRowColHeaders="0" zoomScale="7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2.21875" style="1" customWidth="1"/>
    <col min="2" max="2" width="14.21875" customWidth="1"/>
    <col min="3" max="3" width="56.44140625" bestFit="1" customWidth="1"/>
    <col min="4" max="4" width="73.33203125" customWidth="1"/>
  </cols>
  <sheetData>
    <row r="1" spans="3:5" ht="49.95" customHeight="1" x14ac:dyDescent="0.3"/>
    <row r="2" spans="3:5" ht="25.05" customHeight="1" thickBot="1" x14ac:dyDescent="0.7">
      <c r="C2" s="5" t="s">
        <v>86</v>
      </c>
      <c r="D2" s="2"/>
      <c r="E2" s="2"/>
    </row>
    <row r="3" spans="3:5" ht="25.05" customHeight="1" thickTop="1" x14ac:dyDescent="0.3">
      <c r="C3" s="6" t="s">
        <v>32</v>
      </c>
      <c r="D3" s="6"/>
      <c r="E3" s="6"/>
    </row>
    <row r="4" spans="3:5" ht="25.05" customHeight="1" x14ac:dyDescent="0.4">
      <c r="C4" s="3"/>
      <c r="D4" s="3"/>
      <c r="E4" s="3"/>
    </row>
    <row r="5" spans="3:5" ht="25.05" customHeight="1" x14ac:dyDescent="0.55000000000000004">
      <c r="C5" s="9" t="s">
        <v>23</v>
      </c>
      <c r="D5" s="10">
        <f>SUM(D9,D14,D19)</f>
        <v>600010</v>
      </c>
      <c r="E5" s="3"/>
    </row>
    <row r="6" spans="3:5" ht="9.6" customHeight="1" x14ac:dyDescent="0.55000000000000004">
      <c r="C6" s="11"/>
      <c r="D6" s="12"/>
      <c r="E6" s="3"/>
    </row>
    <row r="7" spans="3:5" ht="25.05" customHeight="1" x14ac:dyDescent="0.45">
      <c r="C7" s="8" t="s">
        <v>24</v>
      </c>
      <c r="D7" s="27"/>
      <c r="E7" s="3"/>
    </row>
    <row r="8" spans="3:5" ht="25.05" customHeight="1" x14ac:dyDescent="0.45">
      <c r="C8" s="7" t="s">
        <v>25</v>
      </c>
      <c r="D8" s="33" t="s">
        <v>37</v>
      </c>
      <c r="E8" s="3"/>
    </row>
    <row r="9" spans="3:5" ht="25.05" customHeight="1" x14ac:dyDescent="0.45">
      <c r="C9" s="7" t="s">
        <v>27</v>
      </c>
      <c r="D9" s="34">
        <v>100000</v>
      </c>
      <c r="E9" s="3"/>
    </row>
    <row r="10" spans="3:5" ht="25.05" customHeight="1" x14ac:dyDescent="0.45">
      <c r="C10" s="7" t="s">
        <v>28</v>
      </c>
      <c r="D10" s="27" t="s">
        <v>83</v>
      </c>
      <c r="E10" s="3"/>
    </row>
    <row r="11" spans="3:5" ht="25.05" customHeight="1" x14ac:dyDescent="0.45">
      <c r="C11" s="7"/>
      <c r="D11" s="27"/>
      <c r="E11" s="3"/>
    </row>
    <row r="12" spans="3:5" ht="25.05" customHeight="1" x14ac:dyDescent="0.45">
      <c r="C12" s="8" t="s">
        <v>29</v>
      </c>
      <c r="D12" s="27"/>
      <c r="E12" s="3"/>
    </row>
    <row r="13" spans="3:5" ht="25.05" customHeight="1" x14ac:dyDescent="0.45">
      <c r="C13" s="7" t="s">
        <v>25</v>
      </c>
      <c r="D13" s="33" t="s">
        <v>34</v>
      </c>
      <c r="E13" s="3"/>
    </row>
    <row r="14" spans="3:5" ht="25.05" customHeight="1" x14ac:dyDescent="0.45">
      <c r="C14" s="7" t="s">
        <v>27</v>
      </c>
      <c r="D14" s="34">
        <v>500000</v>
      </c>
      <c r="E14" s="3"/>
    </row>
    <row r="15" spans="3:5" ht="25.05" customHeight="1" x14ac:dyDescent="0.45">
      <c r="C15" s="7" t="s">
        <v>28</v>
      </c>
      <c r="D15" s="31" t="s">
        <v>82</v>
      </c>
      <c r="E15" s="3"/>
    </row>
    <row r="16" spans="3:5" ht="25.05" customHeight="1" x14ac:dyDescent="0.45">
      <c r="C16" s="7"/>
      <c r="D16" s="32"/>
      <c r="E16" s="3"/>
    </row>
    <row r="17" spans="3:5" ht="25.05" customHeight="1" x14ac:dyDescent="0.45">
      <c r="C17" s="8" t="s">
        <v>31</v>
      </c>
      <c r="D17" s="27"/>
      <c r="E17" s="3"/>
    </row>
    <row r="18" spans="3:5" ht="25.05" customHeight="1" x14ac:dyDescent="0.45">
      <c r="C18" s="7" t="s">
        <v>25</v>
      </c>
      <c r="D18" s="33" t="s">
        <v>35</v>
      </c>
      <c r="E18" s="3"/>
    </row>
    <row r="19" spans="3:5" ht="25.05" customHeight="1" x14ac:dyDescent="0.45">
      <c r="C19" s="7" t="s">
        <v>27</v>
      </c>
      <c r="D19" s="34">
        <v>10</v>
      </c>
      <c r="E19" s="3"/>
    </row>
    <row r="20" spans="3:5" ht="25.05" customHeight="1" x14ac:dyDescent="0.45">
      <c r="C20" s="7" t="s">
        <v>28</v>
      </c>
      <c r="D20" s="27" t="s">
        <v>84</v>
      </c>
      <c r="E20" s="3"/>
    </row>
    <row r="21" spans="3:5" ht="25.05" customHeight="1" x14ac:dyDescent="0.3"/>
    <row r="22" spans="3:5" ht="25.05" customHeight="1" x14ac:dyDescent="0.3"/>
    <row r="23" spans="3:5" ht="25.05" customHeight="1" x14ac:dyDescent="0.3"/>
    <row r="24" spans="3:5" ht="25.05" customHeight="1" x14ac:dyDescent="0.3"/>
    <row r="25" spans="3:5" ht="25.05" customHeight="1" x14ac:dyDescent="0.3"/>
    <row r="26" spans="3:5" ht="25.05" customHeight="1" x14ac:dyDescent="0.3"/>
    <row r="27" spans="3:5" ht="25.05" customHeight="1" x14ac:dyDescent="0.3"/>
    <row r="28" spans="3:5" ht="25.05" customHeight="1" x14ac:dyDescent="0.3"/>
    <row r="29" spans="3:5" ht="25.05" customHeight="1" x14ac:dyDescent="0.3"/>
  </sheetData>
  <mergeCells count="1">
    <mergeCell ref="C3:E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="Dados Inválidos" prompt="Informe um banco da lista" xr:uid="{F10577C5-16DC-4458-BF52-452AFB077D0A}">
          <x14:formula1>
            <xm:f>TBL_BANCOS!$B$2:$B$51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B54-EEB0-4C57-BB68-C3AB4227AB47}">
  <dimension ref="A1:M29"/>
  <sheetViews>
    <sheetView showGridLines="0" showRowColHeaders="0" zoomScale="7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2.21875" style="1" customWidth="1"/>
    <col min="2" max="2" width="14.21875" customWidth="1"/>
    <col min="3" max="3" width="19.5546875" customWidth="1"/>
    <col min="4" max="4" width="22.109375" customWidth="1"/>
    <col min="5" max="5" width="25.44140625" customWidth="1"/>
    <col min="13" max="13" width="9.33203125" customWidth="1"/>
  </cols>
  <sheetData>
    <row r="1" spans="3:13" ht="49.95" customHeight="1" x14ac:dyDescent="0.3"/>
    <row r="2" spans="3:13" ht="25.05" customHeight="1" thickBot="1" x14ac:dyDescent="0.7">
      <c r="C2" s="5" t="s">
        <v>85</v>
      </c>
      <c r="D2" s="2"/>
      <c r="E2" s="2"/>
    </row>
    <row r="3" spans="3:13" ht="25.05" customHeight="1" thickTop="1" x14ac:dyDescent="0.3">
      <c r="C3" s="18" t="s">
        <v>94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3:13" ht="25.05" customHeight="1" x14ac:dyDescent="0.4">
      <c r="C4" s="3"/>
      <c r="D4" s="3"/>
      <c r="E4" s="3"/>
    </row>
    <row r="5" spans="3:13" ht="25.05" customHeight="1" x14ac:dyDescent="0.3">
      <c r="C5" s="16"/>
      <c r="D5" s="16" t="s">
        <v>87</v>
      </c>
      <c r="E5" s="17"/>
    </row>
    <row r="6" spans="3:13" ht="12.6" customHeight="1" x14ac:dyDescent="0.3">
      <c r="C6" s="14"/>
      <c r="D6" s="15"/>
      <c r="E6" s="15"/>
    </row>
    <row r="7" spans="3:13" ht="25.05" customHeight="1" x14ac:dyDescent="0.45">
      <c r="C7" s="41" t="s">
        <v>88</v>
      </c>
      <c r="D7" s="41" t="s">
        <v>89</v>
      </c>
      <c r="E7" s="41" t="s">
        <v>90</v>
      </c>
    </row>
    <row r="8" spans="3:13" ht="25.05" customHeight="1" thickBot="1" x14ac:dyDescent="0.35">
      <c r="C8" s="35">
        <v>45670</v>
      </c>
      <c r="D8" s="19" t="s">
        <v>91</v>
      </c>
      <c r="E8" s="20">
        <v>12000</v>
      </c>
    </row>
    <row r="9" spans="3:13" ht="25.05" customHeight="1" thickTop="1" thickBot="1" x14ac:dyDescent="0.35">
      <c r="C9" s="36">
        <v>46036</v>
      </c>
      <c r="D9" s="21" t="s">
        <v>92</v>
      </c>
      <c r="E9" s="22">
        <v>500</v>
      </c>
    </row>
    <row r="10" spans="3:13" ht="25.05" customHeight="1" thickTop="1" thickBot="1" x14ac:dyDescent="0.35">
      <c r="C10" s="37">
        <v>46037</v>
      </c>
      <c r="D10" s="23" t="s">
        <v>93</v>
      </c>
      <c r="E10" s="24">
        <v>1000</v>
      </c>
    </row>
    <row r="11" spans="3:13" ht="25.05" customHeight="1" thickTop="1" thickBot="1" x14ac:dyDescent="0.35">
      <c r="C11" s="36">
        <v>46066</v>
      </c>
      <c r="D11" s="21" t="s">
        <v>91</v>
      </c>
      <c r="E11" s="22">
        <v>12000</v>
      </c>
    </row>
    <row r="12" spans="3:13" ht="25.05" customHeight="1" thickTop="1" thickBot="1" x14ac:dyDescent="0.35">
      <c r="C12" s="37">
        <v>46067</v>
      </c>
      <c r="D12" s="23" t="s">
        <v>92</v>
      </c>
      <c r="E12" s="24">
        <v>500</v>
      </c>
    </row>
    <row r="13" spans="3:13" ht="25.05" customHeight="1" thickTop="1" thickBot="1" x14ac:dyDescent="0.35">
      <c r="C13" s="36">
        <v>46068</v>
      </c>
      <c r="D13" s="21" t="s">
        <v>93</v>
      </c>
      <c r="E13" s="22">
        <v>2500</v>
      </c>
    </row>
    <row r="14" spans="3:13" ht="25.05" customHeight="1" thickTop="1" thickBot="1" x14ac:dyDescent="0.35">
      <c r="C14" s="37">
        <v>46035</v>
      </c>
      <c r="D14" s="23" t="s">
        <v>91</v>
      </c>
      <c r="E14" s="24">
        <v>12000</v>
      </c>
    </row>
    <row r="15" spans="3:13" ht="25.05" customHeight="1" thickTop="1" thickBot="1" x14ac:dyDescent="0.35">
      <c r="C15" s="36">
        <v>46036</v>
      </c>
      <c r="D15" s="21" t="s">
        <v>92</v>
      </c>
      <c r="E15" s="22">
        <v>500</v>
      </c>
    </row>
    <row r="16" spans="3:13" ht="25.05" customHeight="1" thickTop="1" thickBot="1" x14ac:dyDescent="0.35">
      <c r="C16" s="37">
        <v>46096</v>
      </c>
      <c r="D16" s="23" t="s">
        <v>93</v>
      </c>
      <c r="E16" s="24">
        <v>1500</v>
      </c>
    </row>
    <row r="17" spans="3:5" ht="25.05" customHeight="1" thickTop="1" thickBot="1" x14ac:dyDescent="0.35">
      <c r="C17" s="36">
        <v>46094</v>
      </c>
      <c r="D17" s="21" t="s">
        <v>91</v>
      </c>
      <c r="E17" s="22">
        <v>12000</v>
      </c>
    </row>
    <row r="18" spans="3:5" ht="25.05" customHeight="1" thickTop="1" thickBot="1" x14ac:dyDescent="0.35">
      <c r="C18" s="37">
        <v>46095</v>
      </c>
      <c r="D18" s="23" t="s">
        <v>92</v>
      </c>
      <c r="E18" s="24">
        <v>500</v>
      </c>
    </row>
    <row r="19" spans="3:5" ht="25.05" customHeight="1" thickTop="1" thickBot="1" x14ac:dyDescent="0.35">
      <c r="C19" s="36">
        <v>46096</v>
      </c>
      <c r="D19" s="21" t="s">
        <v>93</v>
      </c>
      <c r="E19" s="22">
        <v>500</v>
      </c>
    </row>
    <row r="20" spans="3:5" ht="25.05" customHeight="1" thickTop="1" thickBot="1" x14ac:dyDescent="0.35">
      <c r="C20" s="37">
        <v>46094</v>
      </c>
      <c r="D20" s="23" t="s">
        <v>91</v>
      </c>
      <c r="E20" s="24">
        <v>12000</v>
      </c>
    </row>
    <row r="21" spans="3:5" ht="25.05" customHeight="1" thickTop="1" x14ac:dyDescent="0.3">
      <c r="C21" s="38">
        <v>46095</v>
      </c>
      <c r="D21" s="25" t="s">
        <v>92</v>
      </c>
      <c r="E21" s="26">
        <v>2000</v>
      </c>
    </row>
    <row r="22" spans="3:5" ht="25.05" customHeight="1" x14ac:dyDescent="0.3">
      <c r="C22" s="39" t="s">
        <v>23</v>
      </c>
      <c r="D22" s="40"/>
      <c r="E22" s="42">
        <f>SUBTOTAL(109,tbl_Notas_Bancarias[Valor])</f>
        <v>69500</v>
      </c>
    </row>
    <row r="23" spans="3:5" ht="25.05" customHeight="1" x14ac:dyDescent="0.3"/>
    <row r="24" spans="3:5" ht="25.05" customHeight="1" x14ac:dyDescent="0.3"/>
    <row r="25" spans="3:5" ht="25.05" customHeight="1" x14ac:dyDescent="0.3"/>
    <row r="26" spans="3:5" ht="25.05" customHeight="1" x14ac:dyDescent="0.3"/>
    <row r="27" spans="3:5" ht="25.05" customHeight="1" x14ac:dyDescent="0.3"/>
    <row r="28" spans="3:5" ht="25.05" customHeight="1" x14ac:dyDescent="0.3"/>
    <row r="29" spans="3:5" ht="25.05" customHeight="1" x14ac:dyDescent="0.3"/>
  </sheetData>
  <mergeCells count="1">
    <mergeCell ref="C3:M3"/>
  </mergeCells>
  <dataValidations count="1">
    <dataValidation type="list" allowBlank="1" showInputMessage="1" showErrorMessage="1" sqref="D8:D21" xr:uid="{8A8BB884-192F-42B2-8252-6079DA1D52D5}">
      <formula1>"Salário,Prev. Privada,Invest. Ações"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FA40-AF2A-43B1-A0E5-0E8D2E091365}">
  <dimension ref="B1:B52"/>
  <sheetViews>
    <sheetView workbookViewId="0">
      <selection activeCell="H8" sqref="H8"/>
    </sheetView>
  </sheetViews>
  <sheetFormatPr defaultRowHeight="14.4" x14ac:dyDescent="0.3"/>
  <cols>
    <col min="2" max="2" width="34.88671875" bestFit="1" customWidth="1"/>
  </cols>
  <sheetData>
    <row r="1" spans="2:2" x14ac:dyDescent="0.3">
      <c r="B1" s="13" t="s">
        <v>81</v>
      </c>
    </row>
    <row r="2" spans="2:2" x14ac:dyDescent="0.3">
      <c r="B2" s="13" t="s">
        <v>33</v>
      </c>
    </row>
    <row r="3" spans="2:2" x14ac:dyDescent="0.3">
      <c r="B3" s="13" t="s">
        <v>34</v>
      </c>
    </row>
    <row r="4" spans="2:2" x14ac:dyDescent="0.3">
      <c r="B4" s="13" t="s">
        <v>35</v>
      </c>
    </row>
    <row r="5" spans="2:2" x14ac:dyDescent="0.3">
      <c r="B5" s="13" t="s">
        <v>36</v>
      </c>
    </row>
    <row r="6" spans="2:2" x14ac:dyDescent="0.3">
      <c r="B6" s="13" t="s">
        <v>37</v>
      </c>
    </row>
    <row r="7" spans="2:2" x14ac:dyDescent="0.3">
      <c r="B7" s="13" t="s">
        <v>38</v>
      </c>
    </row>
    <row r="8" spans="2:2" x14ac:dyDescent="0.3">
      <c r="B8" s="13" t="s">
        <v>39</v>
      </c>
    </row>
    <row r="9" spans="2:2" x14ac:dyDescent="0.3">
      <c r="B9" s="13" t="s">
        <v>40</v>
      </c>
    </row>
    <row r="10" spans="2:2" x14ac:dyDescent="0.3">
      <c r="B10" s="13" t="s">
        <v>41</v>
      </c>
    </row>
    <row r="11" spans="2:2" x14ac:dyDescent="0.3">
      <c r="B11" s="13" t="s">
        <v>42</v>
      </c>
    </row>
    <row r="12" spans="2:2" x14ac:dyDescent="0.3">
      <c r="B12" s="13" t="s">
        <v>43</v>
      </c>
    </row>
    <row r="13" spans="2:2" x14ac:dyDescent="0.3">
      <c r="B13" s="13" t="s">
        <v>44</v>
      </c>
    </row>
    <row r="14" spans="2:2" x14ac:dyDescent="0.3">
      <c r="B14" s="13" t="s">
        <v>45</v>
      </c>
    </row>
    <row r="15" spans="2:2" x14ac:dyDescent="0.3">
      <c r="B15" s="13" t="s">
        <v>46</v>
      </c>
    </row>
    <row r="16" spans="2:2" x14ac:dyDescent="0.3">
      <c r="B16" s="13" t="s">
        <v>47</v>
      </c>
    </row>
    <row r="17" spans="2:2" x14ac:dyDescent="0.3">
      <c r="B17" s="13" t="s">
        <v>48</v>
      </c>
    </row>
    <row r="18" spans="2:2" x14ac:dyDescent="0.3">
      <c r="B18" s="13" t="s">
        <v>49</v>
      </c>
    </row>
    <row r="19" spans="2:2" x14ac:dyDescent="0.3">
      <c r="B19" s="13" t="s">
        <v>50</v>
      </c>
    </row>
    <row r="20" spans="2:2" x14ac:dyDescent="0.3">
      <c r="B20" s="13" t="s">
        <v>30</v>
      </c>
    </row>
    <row r="21" spans="2:2" x14ac:dyDescent="0.3">
      <c r="B21" s="13" t="s">
        <v>26</v>
      </c>
    </row>
    <row r="22" spans="2:2" x14ac:dyDescent="0.3">
      <c r="B22" s="13" t="s">
        <v>51</v>
      </c>
    </row>
    <row r="23" spans="2:2" x14ac:dyDescent="0.3">
      <c r="B23" s="13" t="s">
        <v>52</v>
      </c>
    </row>
    <row r="24" spans="2:2" x14ac:dyDescent="0.3">
      <c r="B24" s="13" t="s">
        <v>53</v>
      </c>
    </row>
    <row r="25" spans="2:2" x14ac:dyDescent="0.3">
      <c r="B25" s="13" t="s">
        <v>54</v>
      </c>
    </row>
    <row r="26" spans="2:2" x14ac:dyDescent="0.3">
      <c r="B26" s="13" t="s">
        <v>55</v>
      </c>
    </row>
    <row r="27" spans="2:2" x14ac:dyDescent="0.3">
      <c r="B27" s="13" t="s">
        <v>56</v>
      </c>
    </row>
    <row r="28" spans="2:2" x14ac:dyDescent="0.3">
      <c r="B28" s="13" t="s">
        <v>57</v>
      </c>
    </row>
    <row r="29" spans="2:2" x14ac:dyDescent="0.3">
      <c r="B29" s="13" t="s">
        <v>58</v>
      </c>
    </row>
    <row r="30" spans="2:2" x14ac:dyDescent="0.3">
      <c r="B30" s="13" t="s">
        <v>59</v>
      </c>
    </row>
    <row r="31" spans="2:2" x14ac:dyDescent="0.3">
      <c r="B31" s="13" t="s">
        <v>60</v>
      </c>
    </row>
    <row r="32" spans="2:2" x14ac:dyDescent="0.3">
      <c r="B32" s="13" t="s">
        <v>61</v>
      </c>
    </row>
    <row r="33" spans="2:2" x14ac:dyDescent="0.3">
      <c r="B33" s="13" t="s">
        <v>62</v>
      </c>
    </row>
    <row r="34" spans="2:2" x14ac:dyDescent="0.3">
      <c r="B34" s="13" t="s">
        <v>63</v>
      </c>
    </row>
    <row r="35" spans="2:2" x14ac:dyDescent="0.3">
      <c r="B35" s="13" t="s">
        <v>64</v>
      </c>
    </row>
    <row r="36" spans="2:2" x14ac:dyDescent="0.3">
      <c r="B36" s="13" t="s">
        <v>65</v>
      </c>
    </row>
    <row r="37" spans="2:2" x14ac:dyDescent="0.3">
      <c r="B37" s="13" t="s">
        <v>66</v>
      </c>
    </row>
    <row r="38" spans="2:2" x14ac:dyDescent="0.3">
      <c r="B38" s="13" t="s">
        <v>67</v>
      </c>
    </row>
    <row r="39" spans="2:2" x14ac:dyDescent="0.3">
      <c r="B39" s="13" t="s">
        <v>68</v>
      </c>
    </row>
    <row r="40" spans="2:2" x14ac:dyDescent="0.3">
      <c r="B40" s="13" t="s">
        <v>69</v>
      </c>
    </row>
    <row r="41" spans="2:2" x14ac:dyDescent="0.3">
      <c r="B41" s="13" t="s">
        <v>70</v>
      </c>
    </row>
    <row r="42" spans="2:2" x14ac:dyDescent="0.3">
      <c r="B42" s="13" t="s">
        <v>71</v>
      </c>
    </row>
    <row r="43" spans="2:2" x14ac:dyDescent="0.3">
      <c r="B43" s="13" t="s">
        <v>72</v>
      </c>
    </row>
    <row r="44" spans="2:2" x14ac:dyDescent="0.3">
      <c r="B44" s="13" t="s">
        <v>73</v>
      </c>
    </row>
    <row r="45" spans="2:2" x14ac:dyDescent="0.3">
      <c r="B45" s="13" t="s">
        <v>74</v>
      </c>
    </row>
    <row r="46" spans="2:2" x14ac:dyDescent="0.3">
      <c r="B46" s="13" t="s">
        <v>75</v>
      </c>
    </row>
    <row r="47" spans="2:2" x14ac:dyDescent="0.3">
      <c r="B47" s="13" t="s">
        <v>76</v>
      </c>
    </row>
    <row r="48" spans="2:2" x14ac:dyDescent="0.3">
      <c r="B48" s="13" t="s">
        <v>77</v>
      </c>
    </row>
    <row r="49" spans="2:2" x14ac:dyDescent="0.3">
      <c r="B49" s="13" t="s">
        <v>78</v>
      </c>
    </row>
    <row r="50" spans="2:2" x14ac:dyDescent="0.3">
      <c r="B50" s="13" t="s">
        <v>79</v>
      </c>
    </row>
    <row r="51" spans="2:2" x14ac:dyDescent="0.3">
      <c r="B51" s="13" t="s">
        <v>80</v>
      </c>
    </row>
    <row r="52" spans="2:2" x14ac:dyDescent="0.3">
      <c r="B52" s="13">
        <f>SUBTOTAL(103,LISTA_BANCOS[BANCOS])</f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F2BF2-51E2-4C4B-8576-E89697A7F4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TBL_BANCOS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2026-02-03T10:35:57Z</dcterms:created>
  <dcterms:modified xsi:type="dcterms:W3CDTF">2026-02-13T14:11:00Z</dcterms:modified>
</cp:coreProperties>
</file>