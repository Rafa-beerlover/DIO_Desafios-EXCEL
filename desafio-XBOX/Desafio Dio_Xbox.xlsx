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6e5466c0188914/Área de Trabalho/"/>
    </mc:Choice>
  </mc:AlternateContent>
  <xr:revisionPtr revIDLastSave="12" documentId="13_ncr:1_{503AE5E8-080C-48A2-B3B7-2428A0489058}" xr6:coauthVersionLast="47" xr6:coauthVersionMax="47" xr10:uidLastSave="{097CB418-328B-4849-B0A0-758C07A5A692}"/>
  <bookViews>
    <workbookView xWindow="-108" yWindow="-108" windowWidth="23256" windowHeight="1245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7" i="3" l="1"/>
  <c r="D39" i="3"/>
</calcChain>
</file>

<file path=xl/sharedStrings.xml><?xml version="1.0" encoding="utf-8"?>
<sst xmlns="http://schemas.openxmlformats.org/spreadsheetml/2006/main" count="2026" uniqueCount="330">
  <si>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</si>
  <si>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</si>
  <si>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</si>
  <si>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</si>
  <si>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</si>
  <si>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</si>
  <si>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</si>
  <si>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</si>
  <si>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</si>
  <si>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</si>
  <si>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</si>
  <si>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</si>
  <si>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</si>
  <si>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</si>
  <si>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</si>
  <si>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</si>
  <si>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</si>
  <si>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</si>
  <si>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</si>
  <si>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</si>
  <si>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</si>
  <si>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</si>
  <si>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</si>
  <si>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</si>
  <si>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</si>
  <si>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</si>
  <si>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</si>
  <si>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</si>
  <si>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</si>
  <si>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</si>
  <si>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</si>
  <si>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</si>
  <si>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</si>
  <si>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</si>
  <si>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</si>
  <si>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</si>
  <si>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</si>
  <si>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</si>
  <si>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</si>
  <si>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</si>
  <si>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</si>
  <si>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</si>
  <si>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</si>
  <si>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</si>
  <si>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</si>
  <si>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</si>
  <si>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</si>
  <si>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</si>
  <si>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</si>
  <si>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</si>
  <si>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</si>
  <si>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</si>
  <si>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</si>
  <si>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</si>
  <si>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</si>
  <si>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</si>
  <si>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</si>
  <si>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</si>
  <si>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</si>
  <si>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</si>
  <si>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</si>
  <si>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</si>
  <si>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</si>
  <si>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</si>
  <si>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</si>
  <si>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</si>
  <si>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</si>
  <si>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</si>
  <si>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</si>
  <si>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</si>
  <si>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</si>
  <si>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</si>
  <si>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</si>
  <si>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</si>
  <si>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</si>
  <si>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</si>
  <si>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</si>
  <si>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</si>
  <si>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</si>
  <si>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</si>
  <si>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</si>
  <si>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</si>
  <si>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</si>
  <si>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</si>
  <si>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</si>
  <si>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</si>
  <si>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</si>
  <si>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</si>
  <si>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</si>
  <si>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</si>
  <si>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</si>
  <si>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</si>
  <si>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</si>
  <si>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</si>
  <si>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</si>
  <si>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</si>
  <si>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</si>
  <si>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</si>
  <si>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</si>
  <si>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</si>
  <si>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</si>
  <si>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</si>
  <si>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</si>
  <si>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</si>
  <si>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</si>
  <si>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</si>
  <si>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</si>
  <si>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</si>
  <si>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</si>
  <si>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</si>
  <si>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</si>
  <si>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</si>
  <si>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</si>
  <si>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</si>
  <si>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</si>
  <si>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</si>
  <si>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</si>
  <si>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</si>
  <si>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</si>
  <si>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</si>
  <si>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</si>
  <si>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</si>
  <si>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</si>
  <si>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</si>
  <si>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</si>
  <si>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</si>
  <si>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</si>
  <si>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</si>
  <si>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</si>
  <si>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</si>
  <si>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</si>
  <si>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</si>
  <si>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</si>
  <si>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</si>
  <si>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</si>
  <si>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</si>
  <si>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</si>
  <si>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</si>
  <si>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</si>
  <si>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</si>
  <si>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</si>
  <si>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</si>
  <si>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</si>
  <si>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</si>
  <si>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</si>
  <si>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</si>
  <si>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</si>
  <si>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</si>
  <si>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</si>
  <si>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</si>
  <si>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</si>
  <si>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</si>
  <si>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</si>
  <si>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</si>
  <si>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</si>
  <si>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</si>
  <si>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</si>
  <si>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</si>
  <si>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</si>
  <si>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</si>
  <si>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</si>
  <si>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</si>
  <si>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</si>
  <si>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</si>
  <si>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</si>
  <si>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</si>
  <si>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</si>
  <si>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</si>
  <si>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</si>
  <si>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</si>
  <si>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</si>
  <si>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</si>
  <si>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</si>
  <si>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</si>
  <si>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</si>
  <si>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</si>
  <si>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</si>
  <si>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</si>
  <si>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</si>
  <si>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</si>
  <si>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</si>
  <si>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</si>
  <si>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</si>
  <si>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</si>
  <si>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</si>
  <si>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</si>
  <si>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</si>
  <si>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</si>
  <si>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</si>
  <si>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</si>
  <si>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</si>
  <si>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</si>
  <si>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</si>
  <si>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</si>
  <si>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</si>
  <si>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</si>
  <si>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</si>
  <si>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</si>
  <si>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</si>
  <si>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</si>
  <si>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</si>
  <si>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</si>
  <si>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</si>
  <si>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</si>
  <si>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</si>
  <si>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</si>
  <si>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</si>
  <si>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</si>
  <si>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</si>
  <si>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</si>
  <si>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</si>
  <si>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</si>
  <si>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</si>
  <si>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</si>
  <si>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</si>
  <si>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</si>
  <si>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</si>
  <si>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</si>
  <si>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</si>
  <si>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</si>
  <si>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</si>
  <si>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</si>
  <si>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</si>
  <si>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</si>
  <si>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</si>
  <si>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</si>
  <si>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</si>
  <si>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</si>
  <si>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</si>
  <si>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</si>
  <si>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</si>
  <si>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</si>
  <si>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</si>
  <si>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</si>
  <si>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</si>
  <si>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</si>
  <si>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</si>
  <si>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</si>
  <si>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</si>
  <si>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</si>
  <si>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</si>
  <si>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</si>
  <si>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</si>
  <si>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</si>
  <si>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</si>
  <si>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</si>
  <si>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</si>
  <si>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</si>
  <si>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</si>
  <si>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</si>
  <si>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</si>
  <si>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</si>
  <si>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</si>
  <si>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</si>
  <si>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</si>
  <si>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</si>
  <si>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</si>
  <si>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</si>
  <si>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</si>
  <si>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</si>
  <si>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</si>
  <si>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</si>
  <si>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</si>
  <si>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</si>
  <si>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</si>
  <si>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</si>
  <si>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</si>
  <si>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</si>
  <si>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</si>
  <si>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</si>
  <si>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</si>
  <si>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</si>
  <si>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</si>
  <si>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</si>
  <si>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</si>
  <si>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</si>
  <si>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</si>
  <si>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</si>
  <si>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</si>
  <si>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</si>
  <si>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</si>
  <si>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</si>
  <si>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</si>
  <si>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</si>
  <si>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</si>
  <si>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</si>
  <si>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</si>
  <si>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</si>
  <si>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</si>
  <si>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</si>
  <si>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</si>
  <si>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</si>
  <si>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</si>
  <si>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</si>
  <si>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</si>
  <si>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</si>
  <si>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</si>
  <si>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</si>
  <si>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</si>
  <si>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</si>
  <si>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</si>
  <si>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</si>
  <si>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</si>
  <si>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</si>
  <si>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</si>
  <si>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</si>
  <si>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</si>
  <si>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</si>
  <si>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</si>
  <si>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</si>
  <si>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</si>
  <si>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</si>
  <si>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Total Geral</t>
  </si>
  <si>
    <t>Tipo de Plano</t>
  </si>
  <si>
    <t>Total de Vendas</t>
  </si>
  <si>
    <t>Auto Renovável?</t>
  </si>
  <si>
    <t>Sim / Não</t>
  </si>
  <si>
    <t>Para obtermos informações úteis e objetivas é necessário obter claramente as perguntas de negócios;</t>
  </si>
  <si>
    <r>
      <t xml:space="preserve">Perguntas de negócio respondida através de alguma </t>
    </r>
    <r>
      <rPr>
        <b/>
        <i/>
        <sz val="11"/>
        <color theme="1"/>
        <rFont val="Arial"/>
        <family val="2"/>
      </rPr>
      <t>análise de dados específica</t>
    </r>
    <r>
      <rPr>
        <sz val="11"/>
        <color theme="1"/>
        <rFont val="Arial"/>
        <family val="2"/>
      </rPr>
      <t>:</t>
    </r>
  </si>
  <si>
    <t>Aqui, transformamos Dados (Tabela Bases) em Informação atavés de cálculos;</t>
  </si>
  <si>
    <t xml:space="preserve"> Perguntas 1 e 2</t>
  </si>
  <si>
    <t xml:space="preserve">Aquia respondem as </t>
  </si>
  <si>
    <r>
      <rPr>
        <b/>
        <sz val="11"/>
        <color theme="1"/>
        <rFont val="Arial"/>
        <family val="2"/>
      </rPr>
      <t>Pergunta de negócio 1</t>
    </r>
    <r>
      <rPr>
        <sz val="11"/>
        <color theme="1"/>
        <rFont val="Arial"/>
        <family val="2"/>
      </rPr>
      <t xml:space="preserve"> - Qual faturamento </t>
    </r>
    <r>
      <rPr>
        <b/>
        <i/>
        <sz val="11"/>
        <color theme="1"/>
        <rFont val="Arial"/>
        <family val="2"/>
      </rPr>
      <t>Total de Vendas</t>
    </r>
    <r>
      <rPr>
        <sz val="11"/>
        <color theme="1"/>
        <rFont val="Arial"/>
        <family val="2"/>
      </rPr>
      <t xml:space="preserve"> de </t>
    </r>
    <r>
      <rPr>
        <b/>
        <i/>
        <sz val="11"/>
        <color theme="1"/>
        <rFont val="Arial"/>
        <family val="2"/>
      </rPr>
      <t>Planos Anuais</t>
    </r>
    <r>
      <rPr>
        <sz val="11"/>
        <color theme="1"/>
        <rFont val="Arial"/>
        <family val="2"/>
      </rPr>
      <t xml:space="preserve"> (contendo todas as assinaturas agregadas)?</t>
    </r>
  </si>
  <si>
    <r>
      <rPr>
        <b/>
        <sz val="11"/>
        <color theme="1"/>
        <rFont val="Arial"/>
        <family val="2"/>
      </rPr>
      <t>Pergunta de négocio 2</t>
    </r>
    <r>
      <rPr>
        <sz val="11"/>
        <color theme="1"/>
        <rFont val="Arial"/>
        <family val="2"/>
      </rPr>
      <t xml:space="preserve"> - Qual faturamento </t>
    </r>
    <r>
      <rPr>
        <b/>
        <i/>
        <sz val="11"/>
        <color theme="1"/>
        <rFont val="Arial"/>
        <family val="2"/>
      </rPr>
      <t>Total de Vendas</t>
    </r>
    <r>
      <rPr>
        <sz val="11"/>
        <color theme="1"/>
        <rFont val="Arial"/>
        <family val="2"/>
      </rPr>
      <t xml:space="preserve"> de </t>
    </r>
    <r>
      <rPr>
        <b/>
        <i/>
        <sz val="11"/>
        <color theme="1"/>
        <rFont val="Arial"/>
        <family val="2"/>
      </rPr>
      <t>Planos Anuais</t>
    </r>
    <r>
      <rPr>
        <sz val="11"/>
        <color theme="1"/>
        <rFont val="Arial"/>
        <family val="2"/>
      </rPr>
      <t>, separado por auto renovoção (Sim/Não)?</t>
    </r>
  </si>
  <si>
    <r>
      <t xml:space="preserve">Pergunta de negócio 3 - </t>
    </r>
    <r>
      <rPr>
        <sz val="14"/>
        <color theme="1"/>
        <rFont val="Aptos Narrow"/>
        <family val="2"/>
        <scheme val="minor"/>
      </rPr>
      <t>Qual Total de Vendas de Assinaturas do EA Play?</t>
    </r>
  </si>
  <si>
    <r>
      <rPr>
        <b/>
        <sz val="14"/>
        <color theme="1"/>
        <rFont val="Aptos Narrow"/>
        <family val="2"/>
        <scheme val="minor"/>
      </rPr>
      <t>Pergunta de negócio 4</t>
    </r>
    <r>
      <rPr>
        <sz val="14"/>
        <color theme="1"/>
        <rFont val="Aptos Narrow"/>
        <family val="2"/>
        <scheme val="minor"/>
      </rPr>
      <t xml:space="preserve"> - Qual Total de Vendas de Assinaturas MineCraft?</t>
    </r>
  </si>
  <si>
    <t>Soma de Assinaturas Minecraft</t>
  </si>
  <si>
    <t>Soma de Assinaturas EA Play</t>
  </si>
  <si>
    <t>Vendas Assinaturas XBOX Game Pass</t>
  </si>
  <si>
    <t>Bem-Vindo Rafael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</si>
</sst>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ptos Narrow"/>
      <family val="2"/>
      <scheme val="minor"/>
    </font>
    <font>
      <b/>
      <sz val="26"/>
      <color rgb="FFFF0000"/>
      <name val="Segoe UI"/>
      <family val="2"/>
    </font>
    <font>
      <b/>
      <sz val="14"/>
      <color theme="1"/>
      <name val="Aptos"/>
      <family val="2"/>
    </font>
    <font>
      <b/>
      <sz val="24"/>
      <color rgb="FFFF0000"/>
      <name val="Segoe UI"/>
      <family val="2"/>
    </font>
    <font>
      <sz val="11"/>
      <color theme="1"/>
      <name val="Arial"/>
    </font>
  </fonts>
  <fills count="13">
    <fill>
      <patternFill patternType="none"/>
    </fill>
    <fill>
      <patternFill patternType="gray125"/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thick">
        <color rgb="FF2AE6B1"/>
      </right>
      <top style="thin">
        <color rgb="FF2AE6B1"/>
      </top>
      <bottom style="thin">
        <color rgb="FF2AE6B1"/>
      </bottom>
      <diagonal/>
    </border>
    <border>
      <left style="thick">
        <color rgb="FF2AE6B1"/>
      </left>
      <right/>
      <top style="thin">
        <color rgb="FF2AE6B1"/>
      </top>
      <bottom style="thin">
        <color rgb="FF2AE6B1"/>
      </bottom>
      <diagonal/>
    </border>
    <border>
      <left/>
      <right style="thick">
        <color rgb="FF2AE6B1"/>
      </right>
      <top/>
      <bottom style="thin">
        <color rgb="FF2AE6B1"/>
      </bottom>
      <diagonal/>
    </border>
    <border>
      <left style="thick">
        <color rgb="FF2AE6B1"/>
      </left>
      <right style="thick">
        <color rgb="FF2AE6B1"/>
      </right>
      <top/>
      <bottom style="thin">
        <color rgb="FF2AE6B1"/>
      </bottom>
      <diagonal/>
    </border>
    <border>
      <left style="thick">
        <color rgb="FF2AE6B1"/>
      </left>
      <right/>
      <top/>
      <bottom style="thin">
        <color rgb="FF2AE6B1"/>
      </bottom>
      <diagonal/>
    </border>
    <border>
      <left style="thick">
        <color rgb="FF2AE6B1"/>
      </left>
      <right style="thick">
        <color rgb="FF2AE6B1"/>
      </right>
      <top style="thin">
        <color rgb="FF2AE6B1"/>
      </top>
      <bottom style="thin">
        <color rgb="FF2AE6B1"/>
      </bottom>
      <diagonal/>
    </border>
    <border>
      <left/>
      <right style="thick">
        <color rgb="FF2AE6B1"/>
      </right>
      <top style="thin">
        <color rgb="FF2AE6B1"/>
      </top>
      <bottom/>
      <diagonal/>
    </border>
    <border>
      <left style="thick">
        <color rgb="FF2AE6B1"/>
      </left>
      <right style="thick">
        <color rgb="FF2AE6B1"/>
      </right>
      <top style="thin">
        <color rgb="FF2AE6B1"/>
      </top>
      <bottom/>
      <diagonal/>
    </border>
    <border>
      <left style="thick">
        <color rgb="FF2AE6B1"/>
      </left>
      <right/>
      <top style="thin">
        <color rgb="FF2AE6B1"/>
      </top>
      <bottom/>
      <diagonal/>
    </border>
    <border>
      <left/>
      <right/>
      <top/>
      <bottom style="thick">
        <color theme="9" tint="-0.2499465926084170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48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>
      <alignment horizontal="left"/>
    </xf>
    <xf numFmtId="44" fontId="0" fillId="0" borderId="0" xfId="0" applyNumberFormat="1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7" borderId="0" xfId="0" applyFont="1" applyFill="1"/>
    <xf numFmtId="0" fontId="5" fillId="8" borderId="0" xfId="0" applyFont="1" applyFill="1" applyAlignment="1">
      <alignment vertical="center"/>
    </xf>
    <xf numFmtId="0" fontId="6" fillId="0" borderId="2" xfId="0" applyFont="1" applyBorder="1" applyAlignment="1">
      <alignment horizontal="left"/>
    </xf>
    <xf numFmtId="44" fontId="6" fillId="0" borderId="3" xfId="0" applyNumberFormat="1" applyFont="1" applyBorder="1"/>
    <xf numFmtId="0" fontId="0" fillId="4" borderId="2" xfId="0" applyFill="1" applyBorder="1"/>
    <xf numFmtId="0" fontId="0" fillId="4" borderId="3" xfId="0" applyFill="1" applyBorder="1"/>
    <xf numFmtId="0" fontId="0" fillId="9" borderId="0" xfId="0" applyFill="1"/>
    <xf numFmtId="0" fontId="9" fillId="0" borderId="0" xfId="0" applyFont="1"/>
    <xf numFmtId="0" fontId="4" fillId="0" borderId="0" xfId="0" applyFont="1"/>
    <xf numFmtId="164" fontId="0" fillId="0" borderId="0" xfId="0" applyNumberFormat="1"/>
    <xf numFmtId="0" fontId="0" fillId="4" borderId="0" xfId="0" applyFill="1" applyAlignment="1">
      <alignment horizontal="left"/>
    </xf>
    <xf numFmtId="164" fontId="0" fillId="4" borderId="0" xfId="0" applyNumberFormat="1" applyFill="1"/>
    <xf numFmtId="44" fontId="0" fillId="4" borderId="0" xfId="0" applyNumberFormat="1" applyFill="1"/>
    <xf numFmtId="0" fontId="0" fillId="10" borderId="0" xfId="0" applyFill="1" applyAlignment="1">
      <alignment horizontal="left"/>
    </xf>
    <xf numFmtId="164" fontId="0" fillId="10" borderId="0" xfId="0" applyNumberFormat="1" applyFill="1"/>
    <xf numFmtId="0" fontId="11" fillId="11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11" xfId="0" applyBorder="1" applyAlignment="1">
      <alignment horizontal="center"/>
    </xf>
    <xf numFmtId="0" fontId="13" fillId="0" borderId="2" xfId="0" applyFont="1" applyBorder="1" applyAlignment="1">
      <alignment horizontal="left"/>
    </xf>
    <xf numFmtId="44" fontId="13" fillId="0" borderId="7" xfId="0" applyNumberFormat="1" applyFont="1" applyBorder="1"/>
    <xf numFmtId="44" fontId="13" fillId="0" borderId="3" xfId="0" applyNumberFormat="1" applyFont="1" applyBorder="1"/>
    <xf numFmtId="0" fontId="1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0" fillId="12" borderId="0" xfId="0" applyFill="1"/>
    <xf numFmtId="0" fontId="0" fillId="4" borderId="4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4" borderId="3" xfId="0" applyFont="1" applyFill="1" applyBorder="1" applyAlignment="1">
      <alignment horizontal="center" vertical="center"/>
    </xf>
    <xf numFmtId="0" fontId="0" fillId="4" borderId="8" xfId="0" applyFont="1" applyFill="1" applyBorder="1" applyAlignment="1"/>
    <xf numFmtId="44" fontId="0" fillId="4" borderId="9" xfId="0" applyNumberFormat="1" applyFont="1" applyFill="1" applyBorder="1" applyAlignment="1"/>
    <xf numFmtId="44" fontId="0" fillId="4" borderId="10" xfId="0" applyNumberFormat="1" applyFont="1" applyFill="1" applyBorder="1" applyAlignment="1"/>
  </cellXfs>
  <cellStyles count="3">
    <cellStyle name="Moeda" xfId="2" builtinId="4"/>
    <cellStyle name="Normal" xfId="0" builtinId="0"/>
    <cellStyle name="Título 1" xfId="1" builtinId="16"/>
  </cellStyles>
  <dxfs count="175">
    <dxf>
      <numFmt numFmtId="164" formatCode="&quot;R$&quot;\ #,##0.00"/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numFmt numFmtId="164" formatCode="&quot;R$&quot;\ #,##0.00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vertical style="thin">
          <color auto="1"/>
        </vertical>
      </border>
    </dxf>
    <dxf>
      <border>
        <vertical style="thin">
          <color auto="1"/>
        </vertical>
      </border>
    </dxf>
    <dxf>
      <border>
        <vertical style="thin">
          <color auto="1"/>
        </vertical>
      </border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vertical style="thin">
          <color rgb="FF00B0F0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numFmt numFmtId="164" formatCode="&quot;R$&quot;\ #,##0.00"/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numFmt numFmtId="164" formatCode="&quot;R$&quot;\ #,##0.00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vertical style="thin">
          <color auto="1"/>
        </vertical>
      </border>
    </dxf>
    <dxf>
      <border>
        <vertical style="thin">
          <color auto="1"/>
        </vertical>
      </border>
    </dxf>
    <dxf>
      <border>
        <vertical style="thin">
          <color auto="1"/>
        </vertical>
      </border>
    </dxf>
    <dxf>
      <alignment horizontal="center"/>
    </dxf>
    <dxf>
      <alignment horizontal="center"/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vertical style="thin">
          <color rgb="FF00B0F0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border>
        <vertical style="thick">
          <color rgb="FF2AE6B1"/>
        </vertical>
        <horizontal style="thin">
          <color rgb="FF2AE6B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  <alignment horizontal="general" vertical="bottom" textRotation="0" wrapText="0" indent="0" justifyLastLine="0" shrinkToFit="0" readingOrder="0"/>
    </dxf>
    <dxf>
      <border>
        <vertical style="thin">
          <color rgb="FF00B0F0"/>
        </vertical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alignment horizontal="center"/>
    </dxf>
    <dxf>
      <alignment horizontal="center"/>
    </dxf>
    <dxf>
      <border>
        <vertical style="thin">
          <color auto="1"/>
        </vertical>
      </border>
    </dxf>
    <dxf>
      <border>
        <vertical style="thin">
          <color auto="1"/>
        </vertical>
      </border>
    </dxf>
    <dxf>
      <border>
        <vertical style="thin">
          <color auto="1"/>
        </vertic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border>
        <top style="thin">
          <color rgb="FF2AE6B1"/>
        </top>
        <bottom style="thin">
          <color rgb="FF2AE6B1"/>
        </bottom>
        <horizontal style="thin">
          <color rgb="FF2AE6B1"/>
        </horizontal>
      </border>
    </dxf>
    <dxf>
      <border>
        <top style="thin">
          <color rgb="FF2AE6B1"/>
        </top>
        <bottom style="thin">
          <color rgb="FF2AE6B1"/>
        </bottom>
        <horizontal style="thin">
          <color rgb="FF2AE6B1"/>
        </horizontal>
      </border>
    </dxf>
    <dxf>
      <border>
        <top style="thin">
          <color rgb="FF2AE6B1"/>
        </top>
        <bottom style="thin">
          <color rgb="FF2AE6B1"/>
        </bottom>
        <horizontal style="thin">
          <color rgb="FF2AE6B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2AE6B1"/>
        </patternFill>
      </fill>
      <alignment horizontal="general" vertical="bottom" textRotation="0" wrapText="0" indent="0" justifyLastLine="0" shrinkToFit="0" readingOrder="0"/>
    </dxf>
    <dxf>
      <border>
        <vertical style="thin">
          <color rgb="FF00B0F0"/>
        </vertical>
      </border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font>
        <name val="Arial"/>
        <scheme val="none"/>
      </font>
    </dxf>
    <dxf>
      <border>
        <vertical style="thin">
          <color auto="1"/>
        </vertical>
      </border>
    </dxf>
    <dxf>
      <border>
        <vertical style="thin">
          <color auto="1"/>
        </vertical>
      </border>
    </dxf>
    <dxf>
      <border>
        <vertical style="thin">
          <color auto="1"/>
        </vertical>
      </border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numFmt numFmtId="164" formatCode="&quot;R$&quot;\ #,##0.00"/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fill>
        <patternFill patternType="solid">
          <bgColor rgb="FF2AE6B1"/>
        </patternFill>
      </fill>
    </dxf>
    <dxf>
      <numFmt numFmtId="164" formatCode="&quot;R$&quot;\ #,##0.0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color theme="1"/>
      </font>
      <fill>
        <patternFill>
          <fgColor rgb="FF2AE6B1"/>
          <bgColor theme="9" tint="0.39994506668294322"/>
        </patternFill>
      </fill>
      <border diagonalUp="0" diagonalDown="0">
        <left/>
        <right/>
        <top/>
        <bottom/>
        <vertical/>
        <horizontal/>
      </border>
    </dxf>
    <dxf>
      <font>
        <sz val="12"/>
        <color theme="1"/>
        <name val="Segoe UI"/>
        <family val="2"/>
        <scheme val="none"/>
      </font>
      <fill>
        <patternFill>
          <fgColor theme="9" tint="0.39991454817346722"/>
          <bgColor theme="9" tint="0.39994506668294322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fill>
        <patternFill>
          <fgColor theme="9" tint="0.39994506668294322"/>
          <bgColor theme="9" tint="0.39991454817346722"/>
        </patternFill>
      </fill>
      <border diagonalUp="0" diagonalDown="0">
        <left/>
        <right/>
        <top/>
        <bottom/>
        <vertical/>
        <horizontal/>
      </border>
    </dxf>
    <dxf>
      <font>
        <sz val="12"/>
        <color theme="1"/>
        <name val="Segoe UI"/>
        <family val="2"/>
        <scheme val="none"/>
      </font>
      <fill>
        <patternFill>
          <fgColor theme="9" tint="0.39994506668294322"/>
          <bgColor theme="9" tint="0.3999145481734672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6 2" pivot="0" table="0" count="10" xr9:uid="{8F007717-03BB-4979-BDC2-5D8720144A15}">
      <tableStyleElement type="wholeTable" dxfId="174"/>
      <tableStyleElement type="headerRow" dxfId="173"/>
    </tableStyle>
    <tableStyle name="SlicerStyleLight6 2 2" pivot="0" table="0" count="10" xr9:uid="{60B21A5E-5355-41B9-A101-AB239E60E872}">
      <tableStyleElement type="wholeTable" dxfId="172"/>
      <tableStyleElement type="headerRow" dxfId="171"/>
    </tableStyle>
  </tableStyles>
  <colors>
    <mruColors>
      <color rgb="FFFF3300"/>
      <color rgb="FF9BC848"/>
      <color rgb="FF2AE6B1"/>
      <color rgb="FF22C55E"/>
      <color rgb="FFFFFFFF"/>
      <color rgb="FF3AE6AD"/>
      <color rgb="FFEAEAEA"/>
      <color rgb="FF47F3AD"/>
      <color rgb="FFABE49E"/>
      <color rgb="FFFFFF99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patternFill patternType="solid">
              <fgColor theme="9" tint="0.39994506668294322"/>
              <bgColor theme="9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9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9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auto="1"/>
              <bgColor theme="9" tint="0.399945066682943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2AE6B1"/>
              <bgColor theme="9" tint="0.3999450666829432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270">
              <stop position="0">
                <color rgb="FFFFFFFF"/>
              </stop>
              <stop position="1">
                <color theme="9" tint="-0.2509842219306009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theme="9" tint="0.39994506668294322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theme="9" tint="0.3999450666829432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39994506668294322"/>
              <bgColor theme="9" tint="0.399914548173467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39994506668294322"/>
              <bgColor theme="9" tint="0.399914548173467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39994506668294322"/>
              <bgColor theme="9" tint="0.399914548173467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39994506668294322"/>
              <bgColor theme="9" tint="0.39991454817346722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39994506668294322"/>
              <bgColor theme="9" tint="0.39988402966399123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2AE6B1"/>
              <bgColor rgb="FF92D050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39991454817346722"/>
              <bgColor theme="9" tint="0.39994506668294322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39994506668294322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6 2 2">
        <x14:slicerStyle name="SlicerStyleLight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Dio_Xbox.xlsx]C̳álculos!Tabela dinâmica4</c:name>
    <c:fmtId val="2"/>
  </c:pivotSource>
  <c:chart>
    <c:autoTitleDeleted val="1"/>
    <c:pivotFmts>
      <c:pivotFmt>
        <c:idx val="0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4655893759548711"/>
          <c:y val="9.7399675687311737E-3"/>
          <c:w val="0.70480928689883915"/>
          <c:h val="0.979336976410574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C̳álculos!$C$25:$C$26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C̳álculos!$B$27:$B$28</c:f>
              <c:strCache>
                <c:ptCount val="1"/>
                <c:pt idx="0">
                  <c:v>Quarterly</c:v>
                </c:pt>
              </c:strCache>
            </c:strRef>
          </c:cat>
          <c:val>
            <c:numRef>
              <c:f>C̳álculos!$C$27:$C$28</c:f>
              <c:numCache>
                <c:formatCode>_("R$"* #,##0.00_);_("R$"* \(#,##0.00\);_("R$"* "-"??_);_(@_)</c:formatCode>
                <c:ptCount val="1"/>
                <c:pt idx="0">
                  <c:v>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B-4EFF-8323-35D4263B7411}"/>
            </c:ext>
          </c:extLst>
        </c:ser>
        <c:ser>
          <c:idx val="1"/>
          <c:order val="1"/>
          <c:tx>
            <c:strRef>
              <c:f>C̳álculos!$D$25:$D$26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C̳álculos!$B$27:$B$28</c:f>
              <c:strCache>
                <c:ptCount val="1"/>
                <c:pt idx="0">
                  <c:v>Quarterly</c:v>
                </c:pt>
              </c:strCache>
            </c:strRef>
          </c:cat>
          <c:val>
            <c:numRef>
              <c:f>C̳álculos!$D$27:$D$28</c:f>
              <c:numCache>
                <c:formatCode>_("R$"* #,##0.00_);_("R$"* \(#,##0.00\);_("R$"* "-"??_);_(@_)</c:formatCode>
                <c:ptCount val="1"/>
                <c:pt idx="0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7B-4EFF-8323-35D4263B74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46670608"/>
        <c:axId val="746687888"/>
      </c:barChart>
      <c:catAx>
        <c:axId val="74667060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46687888"/>
        <c:crosses val="autoZero"/>
        <c:auto val="1"/>
        <c:lblAlgn val="ctr"/>
        <c:lblOffset val="100"/>
        <c:noMultiLvlLbl val="0"/>
      </c:catAx>
      <c:valAx>
        <c:axId val="74668788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74667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1.2023217247097845E-2"/>
          <c:y val="6.8230948743820574E-2"/>
          <c:w val="0.11069651741293532"/>
          <c:h val="0.432033984769141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 Dio_Xbox.xlsx]C̳álculos!Tabela dinâmica4</c:name>
    <c:fmtId val="16"/>
  </c:pivotSource>
  <c:chart>
    <c:autoTitleDeleted val="1"/>
    <c:pivotFmts>
      <c:pivotFmt>
        <c:idx val="0"/>
        <c:spPr>
          <a:solidFill>
            <a:srgbClr val="2AE6B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AE6B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AE6B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AE6B1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993838800274442"/>
          <c:y val="7.9153602341854869E-4"/>
          <c:w val="0.80323745494749788"/>
          <c:h val="0.979336976410574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C̳álculos!$C$25:$C$26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C̳álculos!$B$27:$B$28</c:f>
              <c:strCache>
                <c:ptCount val="1"/>
                <c:pt idx="0">
                  <c:v>Quarterly</c:v>
                </c:pt>
              </c:strCache>
            </c:strRef>
          </c:cat>
          <c:val>
            <c:numRef>
              <c:f>C̳álculos!$C$27:$C$28</c:f>
              <c:numCache>
                <c:formatCode>_("R$"* #,##0.00_);_("R$"* \(#,##0.00\);_("R$"* "-"??_);_(@_)</c:formatCode>
                <c:ptCount val="1"/>
                <c:pt idx="0">
                  <c:v>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39-4324-8BDE-99FF0D332A38}"/>
            </c:ext>
          </c:extLst>
        </c:ser>
        <c:ser>
          <c:idx val="1"/>
          <c:order val="1"/>
          <c:tx>
            <c:strRef>
              <c:f>C̳álculos!$D$25:$D$26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C̳álculos!$B$27:$B$28</c:f>
              <c:strCache>
                <c:ptCount val="1"/>
                <c:pt idx="0">
                  <c:v>Quarterly</c:v>
                </c:pt>
              </c:strCache>
            </c:strRef>
          </c:cat>
          <c:val>
            <c:numRef>
              <c:f>C̳álculos!$D$27:$D$28</c:f>
              <c:numCache>
                <c:formatCode>_("R$"* #,##0.00_);_("R$"* \(#,##0.00\);_("R$"* "-"??_);_(@_)</c:formatCode>
                <c:ptCount val="1"/>
                <c:pt idx="0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39-4324-8BDE-99FF0D332A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746670608"/>
        <c:axId val="746687888"/>
      </c:barChart>
      <c:catAx>
        <c:axId val="74667060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46687888"/>
        <c:crosses val="autoZero"/>
        <c:auto val="1"/>
        <c:lblAlgn val="ctr"/>
        <c:lblOffset val="100"/>
        <c:noMultiLvlLbl val="0"/>
      </c:catAx>
      <c:valAx>
        <c:axId val="746687888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746670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2.6459191052109938E-2"/>
          <c:y val="0.13292403024318528"/>
          <c:w val="5.9679851288512602E-2"/>
          <c:h val="0.726835411534535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chart" Target="../charts/chart2.xml"/><Relationship Id="rId7" Type="http://schemas.openxmlformats.org/officeDocument/2006/relationships/image" Target="../media/image1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26670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104775</xdr:colOff>
      <xdr:row>21</xdr:row>
      <xdr:rowOff>180975</xdr:rowOff>
    </xdr:from>
    <xdr:to>
      <xdr:col>3</xdr:col>
      <xdr:colOff>104775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4</xdr:col>
      <xdr:colOff>409575</xdr:colOff>
      <xdr:row>22</xdr:row>
      <xdr:rowOff>131444</xdr:rowOff>
    </xdr:from>
    <xdr:to>
      <xdr:col>7</xdr:col>
      <xdr:colOff>130251</xdr:colOff>
      <xdr:row>26</xdr:row>
      <xdr:rowOff>121920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2847975" y="4314824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10</xdr:row>
      <xdr:rowOff>0</xdr:rowOff>
    </xdr:from>
    <xdr:to>
      <xdr:col>11</xdr:col>
      <xdr:colOff>304800</xdr:colOff>
      <xdr:row>11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10</xdr:row>
      <xdr:rowOff>0</xdr:rowOff>
    </xdr:from>
    <xdr:to>
      <xdr:col>13</xdr:col>
      <xdr:colOff>304800</xdr:colOff>
      <xdr:row>11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9524</xdr:colOff>
      <xdr:row>22</xdr:row>
      <xdr:rowOff>142873</xdr:rowOff>
    </xdr:from>
    <xdr:to>
      <xdr:col>7</xdr:col>
      <xdr:colOff>190499</xdr:colOff>
      <xdr:row>29</xdr:row>
      <xdr:rowOff>95248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Filtre o Plano">
              <a:extLst>
                <a:ext uri="{FF2B5EF4-FFF2-40B4-BE49-F238E27FC236}">
                  <a16:creationId xmlns:a16="http://schemas.microsoft.com/office/drawing/2014/main" id="{A0315FB0-4F7A-EFEC-014F-48110CAA380F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re o Pla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38799" y="4638673"/>
              <a:ext cx="2047875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7</xdr:col>
      <xdr:colOff>190500</xdr:colOff>
      <xdr:row>22</xdr:row>
      <xdr:rowOff>66676</xdr:rowOff>
    </xdr:from>
    <xdr:to>
      <xdr:col>12</xdr:col>
      <xdr:colOff>180975</xdr:colOff>
      <xdr:row>29</xdr:row>
      <xdr:rowOff>152400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CA07EA5-3B46-5A94-4784-0EB596214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107155</xdr:colOff>
      <xdr:row>0</xdr:row>
      <xdr:rowOff>0</xdr:rowOff>
    </xdr:from>
    <xdr:to>
      <xdr:col>0</xdr:col>
      <xdr:colOff>2242985</xdr:colOff>
      <xdr:row>4</xdr:row>
      <xdr:rowOff>71440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6D60BE-D452-4E3E-A729-5F5B9E1F3C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2812" r="37294" b="14973"/>
        <a:stretch>
          <a:fillRect/>
        </a:stretch>
      </xdr:blipFill>
      <xdr:spPr>
        <a:xfrm>
          <a:off x="107155" y="0"/>
          <a:ext cx="2135830" cy="988221"/>
        </a:xfrm>
        <a:prstGeom prst="rect">
          <a:avLst/>
        </a:prstGeom>
      </xdr:spPr>
    </xdr:pic>
    <xdr:clientData/>
  </xdr:twoCellAnchor>
  <xdr:twoCellAnchor editAs="oneCell">
    <xdr:from>
      <xdr:col>0</xdr:col>
      <xdr:colOff>214312</xdr:colOff>
      <xdr:row>12</xdr:row>
      <xdr:rowOff>130969</xdr:rowOff>
    </xdr:from>
    <xdr:to>
      <xdr:col>0</xdr:col>
      <xdr:colOff>2381249</xdr:colOff>
      <xdr:row>19</xdr:row>
      <xdr:rowOff>161925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Filtre o Plano 1">
              <a:extLst>
                <a:ext uri="{FF2B5EF4-FFF2-40B4-BE49-F238E27FC236}">
                  <a16:creationId xmlns:a16="http://schemas.microsoft.com/office/drawing/2014/main" id="{F0E6B7E6-04FE-48F0-8966-82C891281A76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ltre o Pla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312" y="2917032"/>
              <a:ext cx="2166937" cy="12739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595312</xdr:colOff>
      <xdr:row>10</xdr:row>
      <xdr:rowOff>59531</xdr:rowOff>
    </xdr:from>
    <xdr:to>
      <xdr:col>12</xdr:col>
      <xdr:colOff>71439</xdr:colOff>
      <xdr:row>23</xdr:row>
      <xdr:rowOff>47625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5735E3A2-85D3-7CD5-3628-86A64A97E73C}"/>
            </a:ext>
          </a:extLst>
        </xdr:cNvPr>
        <xdr:cNvGrpSpPr/>
      </xdr:nvGrpSpPr>
      <xdr:grpSpPr>
        <a:xfrm>
          <a:off x="3224212" y="2221706"/>
          <a:ext cx="6019802" cy="2540794"/>
          <a:chOff x="3143250" y="1226344"/>
          <a:chExt cx="5988845" cy="2655094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B7B5BCCB-40EE-12D4-B7B1-23C59C603CCB}"/>
              </a:ext>
            </a:extLst>
          </xdr:cNvPr>
          <xdr:cNvSpPr/>
        </xdr:nvSpPr>
        <xdr:spPr>
          <a:xfrm>
            <a:off x="3143250" y="1226345"/>
            <a:ext cx="5988844" cy="2226468"/>
          </a:xfrm>
          <a:prstGeom prst="roundRect">
            <a:avLst>
              <a:gd name="adj" fmla="val 1137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1" kern="1200"/>
          </a:p>
        </xdr:txBody>
      </xdr:sp>
      <xdr:sp macro="" textlink="C̳álculos!D39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4DA43B77-1159-4FE5-A306-B15537EF0A6C}"/>
              </a:ext>
            </a:extLst>
          </xdr:cNvPr>
          <xdr:cNvSpPr/>
        </xdr:nvSpPr>
        <xdr:spPr>
          <a:xfrm>
            <a:off x="5560218" y="2033589"/>
            <a:ext cx="3214687" cy="1073942"/>
          </a:xfrm>
          <a:prstGeom prst="roundRect">
            <a:avLst>
              <a:gd name="adj" fmla="val 11379"/>
            </a:avLst>
          </a:prstGeom>
          <a:solidFill>
            <a:schemeClr val="accent6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00FB467-05EA-4D43-8C39-98FD4104BF70}" type="TxLink">
              <a:rPr lang="en-US" sz="4000" b="1" i="0" u="none" strike="noStrike" kern="120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R$ 990,00</a:t>
            </a:fld>
            <a:endParaRPr lang="pt-BR" sz="4000" b="1" kern="1200">
              <a:solidFill>
                <a:schemeClr val="bg1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9BAAC498-9AEA-438E-8766-4868F56304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33751" y="1833564"/>
            <a:ext cx="2047874" cy="2047874"/>
          </a:xfrm>
          <a:prstGeom prst="rect">
            <a:avLst/>
          </a:prstGeom>
        </xdr:spPr>
      </xdr:pic>
      <xdr:sp macro="" textlink="">
        <xdr:nvSpPr>
          <xdr:cNvPr id="14" name="Retângulo: Cantos Superiores Arredondados 13">
            <a:extLst>
              <a:ext uri="{FF2B5EF4-FFF2-40B4-BE49-F238E27FC236}">
                <a16:creationId xmlns:a16="http://schemas.microsoft.com/office/drawing/2014/main" id="{6CEBF140-0882-C5C3-638A-809CB4FEFEEC}"/>
              </a:ext>
            </a:extLst>
          </xdr:cNvPr>
          <xdr:cNvSpPr/>
        </xdr:nvSpPr>
        <xdr:spPr>
          <a:xfrm>
            <a:off x="3143251" y="1226344"/>
            <a:ext cx="5988844" cy="488156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accent6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2000" b="1" kern="1200">
                <a:solidFill>
                  <a:srgbClr val="FF33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2000" b="1" kern="1200" baseline="0">
                <a:solidFill>
                  <a:srgbClr val="FF33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de Vendas de Assinaturas EA Play</a:t>
            </a:r>
            <a:endParaRPr lang="pt-BR" sz="2000" b="1" kern="1200">
              <a:solidFill>
                <a:srgbClr val="FF33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</xdr:col>
      <xdr:colOff>583403</xdr:colOff>
      <xdr:row>24</xdr:row>
      <xdr:rowOff>23812</xdr:rowOff>
    </xdr:from>
    <xdr:to>
      <xdr:col>23</xdr:col>
      <xdr:colOff>2379</xdr:colOff>
      <xdr:row>40</xdr:row>
      <xdr:rowOff>47624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FC6318DD-7395-C00C-73B5-6CBA9AC12167}"/>
            </a:ext>
          </a:extLst>
        </xdr:cNvPr>
        <xdr:cNvGrpSpPr/>
      </xdr:nvGrpSpPr>
      <xdr:grpSpPr>
        <a:xfrm>
          <a:off x="3212303" y="4919662"/>
          <a:ext cx="12477751" cy="2919412"/>
          <a:chOff x="2881311" y="3905249"/>
          <a:chExt cx="12418219" cy="3071812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096A8F13-29F6-0A93-3488-57D5BBFF66B0}"/>
              </a:ext>
            </a:extLst>
          </xdr:cNvPr>
          <xdr:cNvGrpSpPr/>
        </xdr:nvGrpSpPr>
        <xdr:grpSpPr>
          <a:xfrm>
            <a:off x="2881312" y="3905249"/>
            <a:ext cx="12406313" cy="3071812"/>
            <a:chOff x="3595688" y="1738311"/>
            <a:chExt cx="7893844" cy="2476501"/>
          </a:xfrm>
        </xdr:grpSpPr>
        <xdr:sp macro="" textlink="">
          <xdr:nvSpPr>
            <xdr:cNvPr id="6" name="Retângulo: Cantos Arredondados 5">
              <a:extLst>
                <a:ext uri="{FF2B5EF4-FFF2-40B4-BE49-F238E27FC236}">
                  <a16:creationId xmlns:a16="http://schemas.microsoft.com/office/drawing/2014/main" id="{D2C1DEF1-288F-588E-E1C7-9ACE3745E926}"/>
                </a:ext>
              </a:extLst>
            </xdr:cNvPr>
            <xdr:cNvSpPr/>
          </xdr:nvSpPr>
          <xdr:spPr>
            <a:xfrm>
              <a:off x="3595688" y="1738311"/>
              <a:ext cx="7893844" cy="2476501"/>
            </a:xfrm>
            <a:prstGeom prst="roundRect">
              <a:avLst>
                <a:gd name="adj" fmla="val 1137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8D22B355-D697-4E5E-AFBE-D17F280A9DF1}"/>
                </a:ext>
              </a:extLst>
            </xdr:cNvPr>
            <xdr:cNvGraphicFramePr>
              <a:graphicFrameLocks/>
            </xdr:cNvGraphicFramePr>
          </xdr:nvGraphicFramePr>
          <xdr:xfrm>
            <a:off x="3728563" y="2458224"/>
            <a:ext cx="7635069" cy="13994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  <xdr:sp macro="" textlink="">
        <xdr:nvSpPr>
          <xdr:cNvPr id="21" name="Retângulo: Cantos Superiores Arredondados 20">
            <a:extLst>
              <a:ext uri="{FF2B5EF4-FFF2-40B4-BE49-F238E27FC236}">
                <a16:creationId xmlns:a16="http://schemas.microsoft.com/office/drawing/2014/main" id="{519A1B7B-8339-490D-BAA1-3A724BACB532}"/>
              </a:ext>
            </a:extLst>
          </xdr:cNvPr>
          <xdr:cNvSpPr/>
        </xdr:nvSpPr>
        <xdr:spPr>
          <a:xfrm>
            <a:off x="2881311" y="3905249"/>
            <a:ext cx="12418219" cy="488156"/>
          </a:xfrm>
          <a:prstGeom prst="round2SameRect">
            <a:avLst>
              <a:gd name="adj1" fmla="val 50000"/>
              <a:gd name="adj2" fmla="val 0"/>
            </a:avLst>
          </a:prstGeom>
          <a:solidFill>
            <a:schemeClr val="accent6">
              <a:lumMod val="60000"/>
              <a:lumOff val="4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ctr"/>
            <a:r>
              <a:rPr lang="pt-BR" sz="2000" b="1" kern="1200">
                <a:solidFill>
                  <a:srgbClr val="FF33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2000" b="1" kern="1200" baseline="0">
                <a:solidFill>
                  <a:srgbClr val="FF33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de Vendas de Assinaturas XBOX Game Pass</a:t>
            </a:r>
            <a:endParaRPr lang="pt-BR" sz="2000" b="1" kern="1200">
              <a:solidFill>
                <a:srgbClr val="FF33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12</xdr:col>
      <xdr:colOff>488157</xdr:colOff>
      <xdr:row>10</xdr:row>
      <xdr:rowOff>47626</xdr:rowOff>
    </xdr:from>
    <xdr:to>
      <xdr:col>23</xdr:col>
      <xdr:colOff>2</xdr:colOff>
      <xdr:row>20</xdr:row>
      <xdr:rowOff>178595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222E5C9D-01E6-17C1-A3EE-6986D5B5E696}"/>
            </a:ext>
          </a:extLst>
        </xdr:cNvPr>
        <xdr:cNvGrpSpPr/>
      </xdr:nvGrpSpPr>
      <xdr:grpSpPr>
        <a:xfrm>
          <a:off x="9660732" y="2209801"/>
          <a:ext cx="6026945" cy="2140744"/>
          <a:chOff x="9548813" y="2297907"/>
          <a:chExt cx="5988845" cy="2226469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07F21E9D-94ED-4FE3-8DAC-DEB531BC36E8}"/>
              </a:ext>
            </a:extLst>
          </xdr:cNvPr>
          <xdr:cNvGrpSpPr/>
        </xdr:nvGrpSpPr>
        <xdr:grpSpPr>
          <a:xfrm>
            <a:off x="9548813" y="2297907"/>
            <a:ext cx="5988845" cy="2226469"/>
            <a:chOff x="3143250" y="1226344"/>
            <a:chExt cx="5988845" cy="2226469"/>
          </a:xfrm>
        </xdr:grpSpPr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57C3B80D-A9C2-DFAA-AFA3-A7BB2536C3EE}"/>
                </a:ext>
              </a:extLst>
            </xdr:cNvPr>
            <xdr:cNvSpPr/>
          </xdr:nvSpPr>
          <xdr:spPr>
            <a:xfrm>
              <a:off x="3143250" y="1226345"/>
              <a:ext cx="5988844" cy="2226468"/>
            </a:xfrm>
            <a:prstGeom prst="roundRect">
              <a:avLst>
                <a:gd name="adj" fmla="val 1137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b="1" kern="1200"/>
            </a:p>
          </xdr:txBody>
        </xdr:sp>
        <xdr:sp macro="" textlink="C̳álculos!D39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61DD0947-0B5D-A9DD-D657-43549698D4D9}"/>
                </a:ext>
              </a:extLst>
            </xdr:cNvPr>
            <xdr:cNvSpPr/>
          </xdr:nvSpPr>
          <xdr:spPr>
            <a:xfrm>
              <a:off x="5560218" y="2033589"/>
              <a:ext cx="3214687" cy="1073942"/>
            </a:xfrm>
            <a:prstGeom prst="roundRect">
              <a:avLst>
                <a:gd name="adj" fmla="val 11379"/>
              </a:avLst>
            </a:prstGeom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00FB467-05EA-4D43-8C39-98FD4104BF70}" type="TxLink">
                <a:rPr lang="en-US" sz="4000" b="1" i="0" u="none" strike="noStrike" kern="1200">
                  <a:solidFill>
                    <a:schemeClr val="bg1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pPr algn="ctr"/>
                <a:t>R$ 990,00</a:t>
              </a:fld>
              <a:endParaRPr lang="pt-BR" sz="4000" b="1" kern="1200">
                <a:solidFill>
                  <a:schemeClr val="bg1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  <xdr:sp macro="" textlink="">
          <xdr:nvSpPr>
            <xdr:cNvPr id="20" name="Retângulo: Cantos Superiores Arredondados 19">
              <a:extLst>
                <a:ext uri="{FF2B5EF4-FFF2-40B4-BE49-F238E27FC236}">
                  <a16:creationId xmlns:a16="http://schemas.microsoft.com/office/drawing/2014/main" id="{F3D9726A-DA45-6C6C-67ED-C1A2472B818F}"/>
                </a:ext>
              </a:extLst>
            </xdr:cNvPr>
            <xdr:cNvSpPr/>
          </xdr:nvSpPr>
          <xdr:spPr>
            <a:xfrm>
              <a:off x="3143251" y="1226344"/>
              <a:ext cx="5988844" cy="488156"/>
            </a:xfrm>
            <a:prstGeom prst="round2SameRect">
              <a:avLst>
                <a:gd name="adj1" fmla="val 50000"/>
                <a:gd name="adj2" fmla="val 0"/>
              </a:avLst>
            </a:prstGeom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b"/>
            <a:lstStyle/>
            <a:p>
              <a:pPr algn="ctr"/>
              <a:r>
                <a:rPr lang="pt-BR" sz="2000" b="1" kern="1200">
                  <a:solidFill>
                    <a:srgbClr val="FF33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BR" sz="2000" b="1" kern="1200" baseline="0">
                  <a:solidFill>
                    <a:srgbClr val="FF3300"/>
                  </a:solidFill>
                  <a:latin typeface="Segoe UI" panose="020B0502040204020203" pitchFamily="34" charset="0"/>
                  <a:cs typeface="Segoe UI" panose="020B0502040204020203" pitchFamily="34" charset="0"/>
                </a:rPr>
                <a:t> de Vendas de Assinaturas EA Play</a:t>
              </a:r>
              <a:endParaRPr lang="pt-BR" sz="2000" b="1" kern="1200">
                <a:solidFill>
                  <a:srgbClr val="FF3300"/>
                </a:solidFill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24" name="Agrupar 23">
            <a:extLst>
              <a:ext uri="{FF2B5EF4-FFF2-40B4-BE49-F238E27FC236}">
                <a16:creationId xmlns:a16="http://schemas.microsoft.com/office/drawing/2014/main" id="{CEC5FBF1-EF3F-42DA-8FF0-7EE062643D19}"/>
              </a:ext>
            </a:extLst>
          </xdr:cNvPr>
          <xdr:cNvGrpSpPr/>
        </xdr:nvGrpSpPr>
        <xdr:grpSpPr>
          <a:xfrm>
            <a:off x="9929814" y="3214687"/>
            <a:ext cx="1714500" cy="931071"/>
            <a:chOff x="3495675" y="5400674"/>
            <a:chExt cx="1549476" cy="752476"/>
          </a:xfrm>
        </xdr:grpSpPr>
        <xdr:pic>
          <xdr:nvPicPr>
            <xdr:cNvPr id="25" name="Imagem 24">
              <a:extLst>
                <a:ext uri="{FF2B5EF4-FFF2-40B4-BE49-F238E27FC236}">
                  <a16:creationId xmlns:a16="http://schemas.microsoft.com/office/drawing/2014/main" id="{537614B7-CDE3-E7EE-C128-74CEAD620BF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6" name="Gráfico 25">
              <a:extLst>
                <a:ext uri="{FF2B5EF4-FFF2-40B4-BE49-F238E27FC236}">
                  <a16:creationId xmlns:a16="http://schemas.microsoft.com/office/drawing/2014/main" id="{1DA32763-B35F-EF8A-69E3-700258F2C8C1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22</xdr:col>
      <xdr:colOff>23814</xdr:colOff>
      <xdr:row>1</xdr:row>
      <xdr:rowOff>9000</xdr:rowOff>
    </xdr:from>
    <xdr:to>
      <xdr:col>23</xdr:col>
      <xdr:colOff>47626</xdr:colOff>
      <xdr:row>1</xdr:row>
      <xdr:rowOff>416717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4AD3B517-2499-4910-B1D8-2D04F4B7A0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r="67469" b="-557"/>
        <a:stretch>
          <a:fillRect/>
        </a:stretch>
      </xdr:blipFill>
      <xdr:spPr>
        <a:xfrm>
          <a:off x="15156658" y="199500"/>
          <a:ext cx="428624" cy="407717"/>
        </a:xfrm>
        <a:prstGeom prst="rect">
          <a:avLst/>
        </a:prstGeom>
      </xdr:spPr>
    </xdr:pic>
    <xdr:clientData/>
  </xdr:twoCellAnchor>
  <xdr:twoCellAnchor>
    <xdr:from>
      <xdr:col>0</xdr:col>
      <xdr:colOff>895351</xdr:colOff>
      <xdr:row>6</xdr:row>
      <xdr:rowOff>326041</xdr:rowOff>
    </xdr:from>
    <xdr:to>
      <xdr:col>0</xdr:col>
      <xdr:colOff>1590676</xdr:colOff>
      <xdr:row>10</xdr:row>
      <xdr:rowOff>33148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371E724D-B5C1-4D73-ADE2-D3F857979BAE}"/>
            </a:ext>
          </a:extLst>
        </xdr:cNvPr>
        <xdr:cNvSpPr/>
      </xdr:nvSpPr>
      <xdr:spPr>
        <a:xfrm>
          <a:off x="895351" y="1588104"/>
          <a:ext cx="695325" cy="695325"/>
        </a:xfrm>
        <a:prstGeom prst="ellipse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2</xdr:col>
      <xdr:colOff>0</xdr:colOff>
      <xdr:row>4</xdr:row>
      <xdr:rowOff>0</xdr:rowOff>
    </xdr:from>
    <xdr:to>
      <xdr:col>9</xdr:col>
      <xdr:colOff>345162</xdr:colOff>
      <xdr:row>5</xdr:row>
      <xdr:rowOff>50806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D0290C4A-E24E-4922-8AB2-87BE1E3D9B8B}"/>
            </a:ext>
          </a:extLst>
        </xdr:cNvPr>
        <xdr:cNvSpPr/>
      </xdr:nvSpPr>
      <xdr:spPr>
        <a:xfrm>
          <a:off x="3155156" y="916781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14/02/2026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 Rafael Rodrigues de ECL ZSO1111" refreshedDate="46067.129154745373" createdVersion="8" refreshedVersion="8" minRefreshableVersion="3" recordCount="295" xr:uid="{D69859A6-A441-461A-9B49-B0167F0CD358}">
  <cacheSource type="worksheet">
    <worksheetSource name="tbl_bases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4131733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x v="0"/>
    <x v="0"/>
    <x v="0"/>
    <n v="20"/>
    <n v="5"/>
    <n v="60"/>
  </r>
  <r>
    <n v="3232"/>
    <s v="Maria Oliveira"/>
    <x v="1"/>
    <d v="2024-01-15T00:00:00"/>
    <x v="1"/>
    <n v="5"/>
    <x v="1"/>
    <x v="1"/>
    <x v="1"/>
    <x v="1"/>
    <n v="0"/>
    <n v="0"/>
    <n v="5"/>
  </r>
  <r>
    <n v="3233"/>
    <s v="Lucas Fernandes"/>
    <x v="2"/>
    <d v="2024-02-10T00:00:00"/>
    <x v="0"/>
    <n v="10"/>
    <x v="2"/>
    <x v="1"/>
    <x v="1"/>
    <x v="0"/>
    <n v="20"/>
    <n v="10"/>
    <n v="20"/>
  </r>
  <r>
    <n v="3234"/>
    <s v="Ana Souza"/>
    <x v="0"/>
    <d v="2024-02-20T00:00:00"/>
    <x v="1"/>
    <n v="15"/>
    <x v="0"/>
    <x v="0"/>
    <x v="0"/>
    <x v="0"/>
    <n v="20"/>
    <n v="3"/>
    <n v="62"/>
  </r>
  <r>
    <n v="3235"/>
    <s v="Pedro Gonçalves"/>
    <x v="1"/>
    <d v="2024-03-05T00:00:00"/>
    <x v="0"/>
    <n v="5"/>
    <x v="0"/>
    <x v="1"/>
    <x v="1"/>
    <x v="1"/>
    <n v="0"/>
    <n v="1"/>
    <n v="4"/>
  </r>
  <r>
    <n v="3236"/>
    <s v="Felipe Costa"/>
    <x v="2"/>
    <d v="2024-03-02T00:00:00"/>
    <x v="1"/>
    <n v="10"/>
    <x v="0"/>
    <x v="1"/>
    <x v="1"/>
    <x v="0"/>
    <n v="20"/>
    <n v="2"/>
    <n v="28"/>
  </r>
  <r>
    <n v="3237"/>
    <s v="Camila Ribeiro"/>
    <x v="0"/>
    <d v="2024-03-03T00:00:00"/>
    <x v="0"/>
    <n v="15"/>
    <x v="2"/>
    <x v="0"/>
    <x v="0"/>
    <x v="0"/>
    <n v="20"/>
    <n v="10"/>
    <n v="55"/>
  </r>
  <r>
    <n v="3238"/>
    <s v="André Mendes"/>
    <x v="1"/>
    <d v="2024-03-04T00:00:00"/>
    <x v="0"/>
    <n v="5"/>
    <x v="1"/>
    <x v="1"/>
    <x v="1"/>
    <x v="1"/>
    <n v="0"/>
    <n v="0"/>
    <n v="5"/>
  </r>
  <r>
    <n v="3239"/>
    <s v="Sofia Almeida"/>
    <x v="0"/>
    <d v="2024-03-05T00:00:00"/>
    <x v="1"/>
    <n v="15"/>
    <x v="0"/>
    <x v="0"/>
    <x v="0"/>
    <x v="0"/>
    <n v="20"/>
    <n v="5"/>
    <n v="60"/>
  </r>
  <r>
    <n v="3240"/>
    <s v="Bruno Martins"/>
    <x v="2"/>
    <d v="2024-03-06T00:00:00"/>
    <x v="0"/>
    <n v="10"/>
    <x v="2"/>
    <x v="1"/>
    <x v="1"/>
    <x v="0"/>
    <n v="20"/>
    <n v="15"/>
    <n v="15"/>
  </r>
  <r>
    <n v="3241"/>
    <s v="Rita Castro"/>
    <x v="1"/>
    <d v="2024-03-07T00:00:00"/>
    <x v="1"/>
    <n v="5"/>
    <x v="0"/>
    <x v="1"/>
    <x v="1"/>
    <x v="1"/>
    <n v="0"/>
    <n v="1"/>
    <n v="4"/>
  </r>
  <r>
    <n v="3242"/>
    <s v="Marco Túlio"/>
    <x v="0"/>
    <d v="2024-03-08T00:00:00"/>
    <x v="0"/>
    <n v="15"/>
    <x v="1"/>
    <x v="0"/>
    <x v="0"/>
    <x v="0"/>
    <n v="20"/>
    <n v="20"/>
    <n v="45"/>
  </r>
  <r>
    <n v="3243"/>
    <s v="Lívia Silveira"/>
    <x v="2"/>
    <d v="2024-03-09T00:00:00"/>
    <x v="1"/>
    <n v="10"/>
    <x v="0"/>
    <x v="1"/>
    <x v="1"/>
    <x v="0"/>
    <n v="20"/>
    <n v="10"/>
    <n v="20"/>
  </r>
  <r>
    <n v="3244"/>
    <s v="Diogo Sousa"/>
    <x v="1"/>
    <d v="2024-03-10T00:00:00"/>
    <x v="0"/>
    <n v="5"/>
    <x v="2"/>
    <x v="1"/>
    <x v="1"/>
    <x v="1"/>
    <n v="0"/>
    <n v="0"/>
    <n v="5"/>
  </r>
  <r>
    <n v="3245"/>
    <s v="Fernanda Lima"/>
    <x v="0"/>
    <d v="2024-03-11T00:00:00"/>
    <x v="1"/>
    <n v="15"/>
    <x v="0"/>
    <x v="0"/>
    <x v="0"/>
    <x v="0"/>
    <n v="20"/>
    <n v="8"/>
    <n v="57"/>
  </r>
  <r>
    <n v="3246"/>
    <s v="Caio Pereira"/>
    <x v="2"/>
    <d v="2024-03-12T00:00:00"/>
    <x v="0"/>
    <n v="10"/>
    <x v="1"/>
    <x v="1"/>
    <x v="1"/>
    <x v="0"/>
    <n v="20"/>
    <n v="12"/>
    <n v="18"/>
  </r>
  <r>
    <n v="3247"/>
    <s v="Beatriz Gomes"/>
    <x v="1"/>
    <d v="2024-03-13T00:00:00"/>
    <x v="1"/>
    <n v="5"/>
    <x v="0"/>
    <x v="1"/>
    <x v="1"/>
    <x v="1"/>
    <n v="0"/>
    <n v="2"/>
    <n v="3"/>
  </r>
  <r>
    <n v="3248"/>
    <s v="Cesar Oliveira"/>
    <x v="0"/>
    <d v="2024-03-14T00:00:00"/>
    <x v="0"/>
    <n v="15"/>
    <x v="2"/>
    <x v="0"/>
    <x v="0"/>
    <x v="0"/>
    <n v="20"/>
    <n v="7"/>
    <n v="58"/>
  </r>
  <r>
    <n v="3249"/>
    <s v="Débora Machado"/>
    <x v="2"/>
    <d v="2024-03-15T00:00:00"/>
    <x v="1"/>
    <n v="10"/>
    <x v="0"/>
    <x v="1"/>
    <x v="1"/>
    <x v="0"/>
    <n v="20"/>
    <n v="5"/>
    <n v="25"/>
  </r>
  <r>
    <n v="3250"/>
    <s v="Eduardo Vargas"/>
    <x v="1"/>
    <d v="2024-03-16T00:00:00"/>
    <x v="0"/>
    <n v="5"/>
    <x v="1"/>
    <x v="1"/>
    <x v="1"/>
    <x v="1"/>
    <n v="0"/>
    <n v="0"/>
    <n v="5"/>
  </r>
  <r>
    <n v="3251"/>
    <s v="Gabriela Santos"/>
    <x v="0"/>
    <d v="2024-03-17T00:00:00"/>
    <x v="1"/>
    <n v="15"/>
    <x v="0"/>
    <x v="0"/>
    <x v="0"/>
    <x v="0"/>
    <n v="20"/>
    <n v="3"/>
    <n v="62"/>
  </r>
  <r>
    <n v="3252"/>
    <s v="Henrique Dias"/>
    <x v="2"/>
    <d v="2024-03-18T00:00:00"/>
    <x v="0"/>
    <n v="10"/>
    <x v="2"/>
    <x v="1"/>
    <x v="1"/>
    <x v="0"/>
    <n v="20"/>
    <n v="15"/>
    <n v="15"/>
  </r>
  <r>
    <n v="3253"/>
    <s v="Isabela Moreira"/>
    <x v="1"/>
    <d v="2024-03-19T00:00:00"/>
    <x v="1"/>
    <n v="5"/>
    <x v="0"/>
    <x v="1"/>
    <x v="1"/>
    <x v="1"/>
    <n v="0"/>
    <n v="1"/>
    <n v="4"/>
  </r>
  <r>
    <n v="3254"/>
    <s v="Joaquim Barbosa"/>
    <x v="0"/>
    <d v="2024-03-20T00:00:00"/>
    <x v="0"/>
    <n v="15"/>
    <x v="1"/>
    <x v="0"/>
    <x v="0"/>
    <x v="0"/>
    <n v="20"/>
    <n v="20"/>
    <n v="45"/>
  </r>
  <r>
    <n v="3255"/>
    <s v="Lara Rocha"/>
    <x v="2"/>
    <d v="2024-03-21T00:00:00"/>
    <x v="1"/>
    <n v="10"/>
    <x v="0"/>
    <x v="1"/>
    <x v="1"/>
    <x v="0"/>
    <n v="20"/>
    <n v="10"/>
    <n v="20"/>
  </r>
  <r>
    <n v="3256"/>
    <s v="Matheus Silva"/>
    <x v="1"/>
    <d v="2024-03-22T00:00:00"/>
    <x v="0"/>
    <n v="5"/>
    <x v="2"/>
    <x v="1"/>
    <x v="1"/>
    <x v="1"/>
    <n v="0"/>
    <n v="0"/>
    <n v="5"/>
  </r>
  <r>
    <n v="3257"/>
    <s v="Nicole Costa"/>
    <x v="0"/>
    <d v="2024-03-23T00:00:00"/>
    <x v="1"/>
    <n v="15"/>
    <x v="0"/>
    <x v="0"/>
    <x v="0"/>
    <x v="0"/>
    <n v="20"/>
    <n v="5"/>
    <n v="60"/>
  </r>
  <r>
    <n v="3258"/>
    <s v="Otávio Mendonça"/>
    <x v="2"/>
    <d v="2024-03-24T00:00:00"/>
    <x v="0"/>
    <n v="10"/>
    <x v="1"/>
    <x v="1"/>
    <x v="1"/>
    <x v="0"/>
    <n v="20"/>
    <n v="15"/>
    <n v="15"/>
  </r>
  <r>
    <n v="3259"/>
    <s v="Paula Ferreira"/>
    <x v="1"/>
    <d v="2024-03-25T00:00:00"/>
    <x v="1"/>
    <n v="5"/>
    <x v="0"/>
    <x v="1"/>
    <x v="1"/>
    <x v="1"/>
    <n v="0"/>
    <n v="1"/>
    <n v="4"/>
  </r>
  <r>
    <n v="3260"/>
    <s v="Raquel Alves"/>
    <x v="0"/>
    <d v="2024-03-26T00:00:00"/>
    <x v="0"/>
    <n v="15"/>
    <x v="2"/>
    <x v="0"/>
    <x v="0"/>
    <x v="0"/>
    <n v="20"/>
    <n v="7"/>
    <n v="58"/>
  </r>
  <r>
    <n v="3261"/>
    <s v="Samuel Pires"/>
    <x v="2"/>
    <d v="2024-03-27T00:00:00"/>
    <x v="1"/>
    <n v="10"/>
    <x v="0"/>
    <x v="1"/>
    <x v="1"/>
    <x v="0"/>
    <n v="20"/>
    <n v="10"/>
    <n v="20"/>
  </r>
  <r>
    <n v="3262"/>
    <s v="Tânia Barros"/>
    <x v="1"/>
    <d v="2024-03-28T00:00:00"/>
    <x v="0"/>
    <n v="5"/>
    <x v="1"/>
    <x v="1"/>
    <x v="1"/>
    <x v="1"/>
    <n v="0"/>
    <n v="0"/>
    <n v="5"/>
  </r>
  <r>
    <n v="3263"/>
    <s v="Vinicius Lima"/>
    <x v="0"/>
    <d v="2024-03-29T00:00:00"/>
    <x v="1"/>
    <n v="15"/>
    <x v="0"/>
    <x v="0"/>
    <x v="0"/>
    <x v="0"/>
    <n v="20"/>
    <n v="3"/>
    <n v="62"/>
  </r>
  <r>
    <n v="3264"/>
    <s v="Yasmin Teixeira"/>
    <x v="2"/>
    <d v="2024-03-30T00:00:00"/>
    <x v="0"/>
    <n v="10"/>
    <x v="2"/>
    <x v="1"/>
    <x v="1"/>
    <x v="0"/>
    <n v="20"/>
    <n v="15"/>
    <n v="15"/>
  </r>
  <r>
    <n v="3265"/>
    <s v="Zé Carlos"/>
    <x v="1"/>
    <d v="2024-03-31T00:00:00"/>
    <x v="1"/>
    <n v="5"/>
    <x v="0"/>
    <x v="1"/>
    <x v="1"/>
    <x v="1"/>
    <n v="0"/>
    <n v="1"/>
    <n v="4"/>
  </r>
  <r>
    <n v="3266"/>
    <s v="Amanda Nogueira"/>
    <x v="1"/>
    <d v="2024-04-01T00:00:00"/>
    <x v="0"/>
    <n v="5"/>
    <x v="0"/>
    <x v="1"/>
    <x v="1"/>
    <x v="1"/>
    <n v="0"/>
    <n v="0"/>
    <n v="5"/>
  </r>
  <r>
    <n v="3267"/>
    <s v="Bruno Cavalheiro"/>
    <x v="0"/>
    <d v="2024-04-02T00:00:00"/>
    <x v="1"/>
    <n v="15"/>
    <x v="2"/>
    <x v="0"/>
    <x v="0"/>
    <x v="0"/>
    <n v="20"/>
    <n v="7"/>
    <n v="58"/>
  </r>
  <r>
    <n v="3268"/>
    <s v="Carla Dias"/>
    <x v="2"/>
    <d v="2024-04-03T00:00:00"/>
    <x v="0"/>
    <n v="10"/>
    <x v="1"/>
    <x v="1"/>
    <x v="1"/>
    <x v="0"/>
    <n v="20"/>
    <n v="10"/>
    <n v="20"/>
  </r>
  <r>
    <n v="3269"/>
    <s v="Diego Fontes"/>
    <x v="1"/>
    <d v="2024-04-04T00:00:00"/>
    <x v="1"/>
    <n v="5"/>
    <x v="2"/>
    <x v="1"/>
    <x v="1"/>
    <x v="1"/>
    <n v="0"/>
    <n v="1"/>
    <n v="4"/>
  </r>
  <r>
    <n v="3270"/>
    <s v="Eunice Lima"/>
    <x v="0"/>
    <d v="2024-04-05T00:00:00"/>
    <x v="0"/>
    <n v="15"/>
    <x v="0"/>
    <x v="0"/>
    <x v="0"/>
    <x v="0"/>
    <n v="20"/>
    <n v="15"/>
    <n v="50"/>
  </r>
  <r>
    <n v="3271"/>
    <s v="Fábio Martins"/>
    <x v="2"/>
    <d v="2024-04-06T00:00:00"/>
    <x v="1"/>
    <n v="10"/>
    <x v="0"/>
    <x v="1"/>
    <x v="1"/>
    <x v="0"/>
    <n v="20"/>
    <n v="5"/>
    <n v="25"/>
  </r>
  <r>
    <n v="3272"/>
    <s v="Gisele Araújo"/>
    <x v="1"/>
    <d v="2024-04-07T00:00:00"/>
    <x v="0"/>
    <n v="5"/>
    <x v="1"/>
    <x v="1"/>
    <x v="1"/>
    <x v="1"/>
    <n v="0"/>
    <n v="0"/>
    <n v="5"/>
  </r>
  <r>
    <n v="3273"/>
    <s v="Hélio Castro"/>
    <x v="0"/>
    <d v="2024-04-08T00:00:00"/>
    <x v="1"/>
    <n v="15"/>
    <x v="2"/>
    <x v="0"/>
    <x v="0"/>
    <x v="0"/>
    <n v="20"/>
    <n v="20"/>
    <n v="45"/>
  </r>
  <r>
    <n v="3274"/>
    <s v="Ingrid Menezes"/>
    <x v="2"/>
    <d v="2024-04-09T00:00:00"/>
    <x v="0"/>
    <n v="10"/>
    <x v="2"/>
    <x v="1"/>
    <x v="1"/>
    <x v="0"/>
    <n v="20"/>
    <n v="12"/>
    <n v="18"/>
  </r>
  <r>
    <n v="3275"/>
    <s v="Jorge Baptista"/>
    <x v="1"/>
    <d v="2024-04-10T00:00:00"/>
    <x v="1"/>
    <n v="5"/>
    <x v="0"/>
    <x v="1"/>
    <x v="1"/>
    <x v="1"/>
    <n v="0"/>
    <n v="2"/>
    <n v="3"/>
  </r>
  <r>
    <n v="3276"/>
    <s v="Kléber Oliveira"/>
    <x v="0"/>
    <d v="2024-04-11T00:00:00"/>
    <x v="0"/>
    <n v="15"/>
    <x v="1"/>
    <x v="0"/>
    <x v="0"/>
    <x v="0"/>
    <n v="20"/>
    <n v="5"/>
    <n v="60"/>
  </r>
  <r>
    <n v="3277"/>
    <s v="Luciana Freitas"/>
    <x v="2"/>
    <d v="2024-04-12T00:00:00"/>
    <x v="1"/>
    <n v="10"/>
    <x v="0"/>
    <x v="1"/>
    <x v="1"/>
    <x v="0"/>
    <n v="20"/>
    <n v="10"/>
    <n v="20"/>
  </r>
  <r>
    <n v="3278"/>
    <s v="Márcia Eller"/>
    <x v="1"/>
    <d v="2024-04-13T00:00:00"/>
    <x v="0"/>
    <n v="5"/>
    <x v="2"/>
    <x v="1"/>
    <x v="1"/>
    <x v="1"/>
    <n v="0"/>
    <n v="0"/>
    <n v="5"/>
  </r>
  <r>
    <n v="3279"/>
    <s v="Nilo Peçanha"/>
    <x v="0"/>
    <d v="2024-04-14T00:00:00"/>
    <x v="1"/>
    <n v="15"/>
    <x v="0"/>
    <x v="0"/>
    <x v="0"/>
    <x v="0"/>
    <n v="20"/>
    <n v="3"/>
    <n v="62"/>
  </r>
  <r>
    <n v="3280"/>
    <s v="Oscar Neves"/>
    <x v="2"/>
    <d v="2024-04-15T00:00:00"/>
    <x v="0"/>
    <n v="10"/>
    <x v="1"/>
    <x v="1"/>
    <x v="1"/>
    <x v="0"/>
    <n v="20"/>
    <n v="15"/>
    <n v="15"/>
  </r>
  <r>
    <n v="3281"/>
    <s v="Patrícia Soares"/>
    <x v="1"/>
    <d v="2024-04-16T00:00:00"/>
    <x v="1"/>
    <n v="5"/>
    <x v="0"/>
    <x v="1"/>
    <x v="1"/>
    <x v="1"/>
    <n v="0"/>
    <n v="1"/>
    <n v="4"/>
  </r>
  <r>
    <n v="3282"/>
    <s v="Quirino Gonçalves"/>
    <x v="0"/>
    <d v="2024-04-17T00:00:00"/>
    <x v="0"/>
    <n v="15"/>
    <x v="2"/>
    <x v="0"/>
    <x v="0"/>
    <x v="0"/>
    <n v="20"/>
    <n v="7"/>
    <n v="58"/>
  </r>
  <r>
    <n v="3283"/>
    <s v="Raul Machado"/>
    <x v="2"/>
    <d v="2024-04-18T00:00:00"/>
    <x v="1"/>
    <n v="10"/>
    <x v="0"/>
    <x v="1"/>
    <x v="1"/>
    <x v="0"/>
    <n v="20"/>
    <n v="10"/>
    <n v="20"/>
  </r>
  <r>
    <n v="3284"/>
    <s v="Sônia Lobo"/>
    <x v="1"/>
    <d v="2024-04-19T00:00:00"/>
    <x v="0"/>
    <n v="5"/>
    <x v="1"/>
    <x v="1"/>
    <x v="1"/>
    <x v="1"/>
    <n v="0"/>
    <n v="0"/>
    <n v="5"/>
  </r>
  <r>
    <n v="3285"/>
    <s v="Tiago Ramos"/>
    <x v="0"/>
    <d v="2024-04-20T00:00:00"/>
    <x v="1"/>
    <n v="15"/>
    <x v="0"/>
    <x v="0"/>
    <x v="0"/>
    <x v="0"/>
    <n v="20"/>
    <n v="20"/>
    <n v="45"/>
  </r>
  <r>
    <n v="3286"/>
    <s v="Ugo Pires"/>
    <x v="2"/>
    <d v="2024-04-21T00:00:00"/>
    <x v="0"/>
    <n v="10"/>
    <x v="2"/>
    <x v="1"/>
    <x v="1"/>
    <x v="0"/>
    <n v="20"/>
    <n v="15"/>
    <n v="15"/>
  </r>
  <r>
    <n v="3287"/>
    <s v="Valéria Nobre"/>
    <x v="1"/>
    <d v="2024-04-22T00:00:00"/>
    <x v="1"/>
    <n v="5"/>
    <x v="0"/>
    <x v="1"/>
    <x v="1"/>
    <x v="1"/>
    <n v="0"/>
    <n v="1"/>
    <n v="4"/>
  </r>
  <r>
    <n v="3288"/>
    <s v="William Siqueira"/>
    <x v="0"/>
    <d v="2024-04-23T00:00:00"/>
    <x v="0"/>
    <n v="15"/>
    <x v="1"/>
    <x v="0"/>
    <x v="0"/>
    <x v="0"/>
    <n v="20"/>
    <n v="3"/>
    <n v="62"/>
  </r>
  <r>
    <n v="3289"/>
    <s v="Xuxa Meneghel"/>
    <x v="2"/>
    <d v="2024-04-24T00:00:00"/>
    <x v="1"/>
    <n v="10"/>
    <x v="0"/>
    <x v="1"/>
    <x v="1"/>
    <x v="0"/>
    <n v="20"/>
    <n v="10"/>
    <n v="20"/>
  </r>
  <r>
    <n v="3290"/>
    <s v="Yara Figueiredo"/>
    <x v="1"/>
    <d v="2024-04-25T00:00:00"/>
    <x v="0"/>
    <n v="5"/>
    <x v="2"/>
    <x v="1"/>
    <x v="1"/>
    <x v="1"/>
    <n v="0"/>
    <n v="0"/>
    <n v="5"/>
  </r>
  <r>
    <n v="3291"/>
    <s v="Zacarias Alves"/>
    <x v="0"/>
    <d v="2024-04-26T00:00:00"/>
    <x v="1"/>
    <n v="15"/>
    <x v="0"/>
    <x v="0"/>
    <x v="0"/>
    <x v="0"/>
    <n v="20"/>
    <n v="5"/>
    <n v="60"/>
  </r>
  <r>
    <n v="3292"/>
    <s v="Amanda Bynes"/>
    <x v="2"/>
    <d v="2024-04-27T00:00:00"/>
    <x v="0"/>
    <n v="10"/>
    <x v="1"/>
    <x v="1"/>
    <x v="1"/>
    <x v="0"/>
    <n v="20"/>
    <n v="15"/>
    <n v="15"/>
  </r>
  <r>
    <n v="3293"/>
    <s v="Bruno Mars"/>
    <x v="1"/>
    <d v="2024-04-28T00:00:00"/>
    <x v="1"/>
    <n v="5"/>
    <x v="0"/>
    <x v="1"/>
    <x v="1"/>
    <x v="1"/>
    <n v="0"/>
    <n v="1"/>
    <n v="4"/>
  </r>
  <r>
    <n v="3294"/>
    <s v="Carla Bruni"/>
    <x v="0"/>
    <d v="2024-04-29T00:00:00"/>
    <x v="0"/>
    <n v="15"/>
    <x v="2"/>
    <x v="0"/>
    <x v="0"/>
    <x v="0"/>
    <n v="20"/>
    <n v="20"/>
    <n v="45"/>
  </r>
  <r>
    <n v="3295"/>
    <s v="Diego Maradona"/>
    <x v="2"/>
    <d v="2024-04-30T00:00:00"/>
    <x v="1"/>
    <n v="10"/>
    <x v="0"/>
    <x v="1"/>
    <x v="1"/>
    <x v="0"/>
    <n v="20"/>
    <n v="5"/>
    <n v="25"/>
  </r>
  <r>
    <n v="3296"/>
    <s v="Estela Marques"/>
    <x v="1"/>
    <d v="2024-05-01T00:00:00"/>
    <x v="1"/>
    <n v="5"/>
    <x v="0"/>
    <x v="1"/>
    <x v="1"/>
    <x v="1"/>
    <n v="0"/>
    <n v="0"/>
    <n v="5"/>
  </r>
  <r>
    <n v="3297"/>
    <s v="Fábio Nobre"/>
    <x v="0"/>
    <d v="2024-05-02T00:00:00"/>
    <x v="0"/>
    <n v="15"/>
    <x v="2"/>
    <x v="0"/>
    <x v="0"/>
    <x v="0"/>
    <n v="20"/>
    <n v="7"/>
    <n v="58"/>
  </r>
  <r>
    <n v="3298"/>
    <s v="Gabriel Oliveira"/>
    <x v="2"/>
    <d v="2024-05-03T00:00:00"/>
    <x v="1"/>
    <n v="10"/>
    <x v="1"/>
    <x v="1"/>
    <x v="1"/>
    <x v="0"/>
    <n v="20"/>
    <n v="10"/>
    <n v="20"/>
  </r>
  <r>
    <n v="3299"/>
    <s v="Helena Santos"/>
    <x v="1"/>
    <d v="2024-05-04T00:00:00"/>
    <x v="0"/>
    <n v="5"/>
    <x v="2"/>
    <x v="1"/>
    <x v="1"/>
    <x v="1"/>
    <n v="0"/>
    <n v="1"/>
    <n v="4"/>
  </r>
  <r>
    <n v="3300"/>
    <s v="Ivan Carvalho"/>
    <x v="0"/>
    <d v="2024-05-05T00:00:00"/>
    <x v="1"/>
    <n v="15"/>
    <x v="0"/>
    <x v="0"/>
    <x v="0"/>
    <x v="0"/>
    <n v="20"/>
    <n v="15"/>
    <n v="50"/>
  </r>
  <r>
    <n v="3301"/>
    <s v="Júlia Ferreira"/>
    <x v="2"/>
    <d v="2024-05-06T00:00:00"/>
    <x v="0"/>
    <n v="10"/>
    <x v="0"/>
    <x v="1"/>
    <x v="1"/>
    <x v="0"/>
    <n v="20"/>
    <n v="5"/>
    <n v="25"/>
  </r>
  <r>
    <n v="3302"/>
    <s v="Karla Alves"/>
    <x v="1"/>
    <d v="2024-05-07T00:00:00"/>
    <x v="1"/>
    <n v="5"/>
    <x v="1"/>
    <x v="1"/>
    <x v="1"/>
    <x v="1"/>
    <n v="0"/>
    <n v="0"/>
    <n v="5"/>
  </r>
  <r>
    <n v="3303"/>
    <s v="Lucas Mendes"/>
    <x v="0"/>
    <d v="2024-05-08T00:00:00"/>
    <x v="0"/>
    <n v="15"/>
    <x v="2"/>
    <x v="0"/>
    <x v="0"/>
    <x v="0"/>
    <n v="20"/>
    <n v="20"/>
    <n v="45"/>
  </r>
  <r>
    <n v="3304"/>
    <s v="Mônica Gomes"/>
    <x v="2"/>
    <d v="2024-05-09T00:00:00"/>
    <x v="1"/>
    <n v="10"/>
    <x v="2"/>
    <x v="1"/>
    <x v="1"/>
    <x v="0"/>
    <n v="20"/>
    <n v="12"/>
    <n v="18"/>
  </r>
  <r>
    <n v="3305"/>
    <s v="Norberto Queiroz"/>
    <x v="1"/>
    <d v="2024-05-10T00:00:00"/>
    <x v="0"/>
    <n v="5"/>
    <x v="0"/>
    <x v="1"/>
    <x v="1"/>
    <x v="1"/>
    <n v="0"/>
    <n v="2"/>
    <n v="3"/>
  </r>
  <r>
    <n v="3306"/>
    <s v="Otávio Barros"/>
    <x v="0"/>
    <d v="2024-05-11T00:00:00"/>
    <x v="1"/>
    <n v="15"/>
    <x v="1"/>
    <x v="0"/>
    <x v="0"/>
    <x v="0"/>
    <n v="20"/>
    <n v="5"/>
    <n v="60"/>
  </r>
  <r>
    <n v="3307"/>
    <s v="Paula Vieira"/>
    <x v="2"/>
    <d v="2024-05-12T00:00:00"/>
    <x v="0"/>
    <n v="10"/>
    <x v="0"/>
    <x v="1"/>
    <x v="1"/>
    <x v="0"/>
    <n v="20"/>
    <n v="10"/>
    <n v="20"/>
  </r>
  <r>
    <n v="3308"/>
    <s v="Quentin Ramos"/>
    <x v="1"/>
    <d v="2024-05-13T00:00:00"/>
    <x v="1"/>
    <n v="5"/>
    <x v="2"/>
    <x v="1"/>
    <x v="1"/>
    <x v="1"/>
    <n v="0"/>
    <n v="0"/>
    <n v="5"/>
  </r>
  <r>
    <n v="3309"/>
    <s v="Raquel Novaes"/>
    <x v="0"/>
    <d v="2024-05-14T00:00:00"/>
    <x v="0"/>
    <n v="15"/>
    <x v="0"/>
    <x v="0"/>
    <x v="0"/>
    <x v="0"/>
    <n v="20"/>
    <n v="3"/>
    <n v="62"/>
  </r>
  <r>
    <n v="3310"/>
    <s v="Samantha Lopes"/>
    <x v="2"/>
    <d v="2024-05-15T00:00:00"/>
    <x v="1"/>
    <n v="10"/>
    <x v="1"/>
    <x v="1"/>
    <x v="1"/>
    <x v="0"/>
    <n v="20"/>
    <n v="15"/>
    <n v="15"/>
  </r>
  <r>
    <n v="3311"/>
    <s v="Tiago Martins"/>
    <x v="1"/>
    <d v="2024-05-16T00:00:00"/>
    <x v="0"/>
    <n v="5"/>
    <x v="0"/>
    <x v="1"/>
    <x v="1"/>
    <x v="1"/>
    <n v="0"/>
    <n v="1"/>
    <n v="4"/>
  </r>
  <r>
    <n v="3312"/>
    <s v="Ulysses Guimarães"/>
    <x v="0"/>
    <d v="2024-05-17T00:00:00"/>
    <x v="1"/>
    <n v="15"/>
    <x v="2"/>
    <x v="0"/>
    <x v="0"/>
    <x v="0"/>
    <n v="20"/>
    <n v="7"/>
    <n v="58"/>
  </r>
  <r>
    <n v="3313"/>
    <s v="Vanessa Silva"/>
    <x v="2"/>
    <d v="2024-05-18T00:00:00"/>
    <x v="0"/>
    <n v="10"/>
    <x v="0"/>
    <x v="1"/>
    <x v="1"/>
    <x v="0"/>
    <n v="20"/>
    <n v="10"/>
    <n v="20"/>
  </r>
  <r>
    <n v="3314"/>
    <s v="William Carneiro"/>
    <x v="1"/>
    <d v="2024-05-19T00:00:00"/>
    <x v="1"/>
    <n v="5"/>
    <x v="1"/>
    <x v="1"/>
    <x v="1"/>
    <x v="1"/>
    <n v="0"/>
    <n v="0"/>
    <n v="5"/>
  </r>
  <r>
    <n v="3315"/>
    <s v="Ximena Rocha"/>
    <x v="0"/>
    <d v="2024-05-20T00:00:00"/>
    <x v="0"/>
    <n v="15"/>
    <x v="0"/>
    <x v="0"/>
    <x v="0"/>
    <x v="0"/>
    <n v="20"/>
    <n v="20"/>
    <n v="45"/>
  </r>
  <r>
    <n v="3316"/>
    <s v="Yasmin Figueiredo"/>
    <x v="2"/>
    <d v="2024-05-21T00:00:00"/>
    <x v="1"/>
    <n v="10"/>
    <x v="2"/>
    <x v="1"/>
    <x v="1"/>
    <x v="0"/>
    <n v="20"/>
    <n v="15"/>
    <n v="15"/>
  </r>
  <r>
    <n v="3317"/>
    <s v="Zara Cunha"/>
    <x v="1"/>
    <d v="2024-05-22T00:00:00"/>
    <x v="0"/>
    <n v="5"/>
    <x v="0"/>
    <x v="1"/>
    <x v="1"/>
    <x v="1"/>
    <n v="0"/>
    <n v="1"/>
    <n v="4"/>
  </r>
  <r>
    <n v="3318"/>
    <s v="Alan Teixeira"/>
    <x v="0"/>
    <d v="2024-05-23T00:00:00"/>
    <x v="1"/>
    <n v="15"/>
    <x v="1"/>
    <x v="0"/>
    <x v="0"/>
    <x v="0"/>
    <n v="20"/>
    <n v="3"/>
    <n v="62"/>
  </r>
  <r>
    <n v="3319"/>
    <s v="Bárbara Oliveira"/>
    <x v="2"/>
    <d v="2024-05-24T00:00:00"/>
    <x v="0"/>
    <n v="10"/>
    <x v="0"/>
    <x v="1"/>
    <x v="1"/>
    <x v="0"/>
    <n v="20"/>
    <n v="10"/>
    <n v="20"/>
  </r>
  <r>
    <n v="3320"/>
    <s v="Carlos Junqueira"/>
    <x v="1"/>
    <d v="2024-05-25T00:00:00"/>
    <x v="1"/>
    <n v="5"/>
    <x v="2"/>
    <x v="1"/>
    <x v="1"/>
    <x v="1"/>
    <n v="0"/>
    <n v="0"/>
    <n v="5"/>
  </r>
  <r>
    <n v="3321"/>
    <s v="Daniela Moura"/>
    <x v="0"/>
    <d v="2024-05-26T00:00:00"/>
    <x v="0"/>
    <n v="15"/>
    <x v="0"/>
    <x v="0"/>
    <x v="0"/>
    <x v="0"/>
    <n v="20"/>
    <n v="5"/>
    <n v="60"/>
  </r>
  <r>
    <n v="3322"/>
    <s v="Eduardo Lima"/>
    <x v="2"/>
    <d v="2024-05-27T00:00:00"/>
    <x v="1"/>
    <n v="10"/>
    <x v="1"/>
    <x v="1"/>
    <x v="1"/>
    <x v="0"/>
    <n v="20"/>
    <n v="15"/>
    <n v="15"/>
  </r>
  <r>
    <n v="3323"/>
    <s v="Fabiana Araújo"/>
    <x v="1"/>
    <d v="2024-05-28T00:00:00"/>
    <x v="0"/>
    <n v="5"/>
    <x v="0"/>
    <x v="1"/>
    <x v="1"/>
    <x v="1"/>
    <n v="0"/>
    <n v="1"/>
    <n v="4"/>
  </r>
  <r>
    <n v="3324"/>
    <s v="Geraldo Ribeiro"/>
    <x v="0"/>
    <d v="2024-05-29T00:00:00"/>
    <x v="1"/>
    <n v="15"/>
    <x v="2"/>
    <x v="0"/>
    <x v="0"/>
    <x v="0"/>
    <n v="20"/>
    <n v="20"/>
    <n v="45"/>
  </r>
  <r>
    <n v="3325"/>
    <s v="Héctor Vargas"/>
    <x v="2"/>
    <d v="2024-05-30T00:00:00"/>
    <x v="0"/>
    <n v="10"/>
    <x v="2"/>
    <x v="1"/>
    <x v="1"/>
    <x v="0"/>
    <n v="20"/>
    <n v="15"/>
    <n v="15"/>
  </r>
  <r>
    <n v="3326"/>
    <s v="Isabela Fonseca"/>
    <x v="1"/>
    <d v="2024-05-31T00:00:00"/>
    <x v="1"/>
    <n v="5"/>
    <x v="1"/>
    <x v="1"/>
    <x v="1"/>
    <x v="1"/>
    <n v="0"/>
    <n v="0"/>
    <n v="5"/>
  </r>
  <r>
    <n v="3327"/>
    <s v="João Pedro Almeida"/>
    <x v="0"/>
    <d v="2024-06-01T00:00:00"/>
    <x v="0"/>
    <n v="15"/>
    <x v="0"/>
    <x v="0"/>
    <x v="0"/>
    <x v="0"/>
    <n v="20"/>
    <n v="7"/>
    <n v="58"/>
  </r>
  <r>
    <n v="3328"/>
    <s v="Klara Costa"/>
    <x v="2"/>
    <d v="2024-06-02T00:00:00"/>
    <x v="1"/>
    <n v="10"/>
    <x v="1"/>
    <x v="1"/>
    <x v="1"/>
    <x v="0"/>
    <n v="20"/>
    <n v="10"/>
    <n v="20"/>
  </r>
  <r>
    <n v="3329"/>
    <s v="Luciana Mendes"/>
    <x v="1"/>
    <d v="2024-06-03T00:00:00"/>
    <x v="0"/>
    <n v="5"/>
    <x v="2"/>
    <x v="1"/>
    <x v="1"/>
    <x v="1"/>
    <n v="0"/>
    <n v="1"/>
    <n v="4"/>
  </r>
  <r>
    <n v="3330"/>
    <s v="Marcelo Gouveia"/>
    <x v="0"/>
    <d v="2024-06-04T00:00:00"/>
    <x v="1"/>
    <n v="15"/>
    <x v="0"/>
    <x v="0"/>
    <x v="0"/>
    <x v="0"/>
    <n v="20"/>
    <n v="15"/>
    <n v="50"/>
  </r>
  <r>
    <n v="3331"/>
    <s v="Nívea Borges"/>
    <x v="2"/>
    <d v="2024-06-05T00:00:00"/>
    <x v="0"/>
    <n v="10"/>
    <x v="0"/>
    <x v="1"/>
    <x v="1"/>
    <x v="0"/>
    <n v="20"/>
    <n v="5"/>
    <n v="25"/>
  </r>
  <r>
    <n v="3332"/>
    <s v="Oscar Nogueira"/>
    <x v="1"/>
    <d v="2024-06-06T00:00:00"/>
    <x v="1"/>
    <n v="5"/>
    <x v="1"/>
    <x v="1"/>
    <x v="1"/>
    <x v="1"/>
    <n v="0"/>
    <n v="0"/>
    <n v="5"/>
  </r>
  <r>
    <n v="3333"/>
    <s v="Patrícia Alves"/>
    <x v="0"/>
    <d v="2024-06-07T00:00:00"/>
    <x v="0"/>
    <n v="15"/>
    <x v="2"/>
    <x v="0"/>
    <x v="0"/>
    <x v="0"/>
    <n v="20"/>
    <n v="20"/>
    <n v="45"/>
  </r>
  <r>
    <n v="3334"/>
    <s v="Rafaela Silva"/>
    <x v="2"/>
    <d v="2024-06-08T00:00:00"/>
    <x v="1"/>
    <n v="10"/>
    <x v="2"/>
    <x v="1"/>
    <x v="1"/>
    <x v="0"/>
    <n v="20"/>
    <n v="12"/>
    <n v="18"/>
  </r>
  <r>
    <n v="3335"/>
    <s v="Samantha Moraes"/>
    <x v="1"/>
    <d v="2024-06-09T00:00:00"/>
    <x v="0"/>
    <n v="5"/>
    <x v="0"/>
    <x v="1"/>
    <x v="1"/>
    <x v="1"/>
    <n v="0"/>
    <n v="2"/>
    <n v="3"/>
  </r>
  <r>
    <n v="3336"/>
    <s v="Tatiana Rocha"/>
    <x v="1"/>
    <d v="2024-06-10T00:00:00"/>
    <x v="0"/>
    <n v="5"/>
    <x v="0"/>
    <x v="1"/>
    <x v="1"/>
    <x v="1"/>
    <n v="0"/>
    <n v="0"/>
    <n v="5"/>
  </r>
  <r>
    <n v="3337"/>
    <s v="Ulisses Tavares"/>
    <x v="0"/>
    <d v="2024-06-11T00:00:00"/>
    <x v="1"/>
    <n v="15"/>
    <x v="2"/>
    <x v="0"/>
    <x v="0"/>
    <x v="0"/>
    <n v="20"/>
    <n v="7"/>
    <n v="58"/>
  </r>
  <r>
    <n v="3338"/>
    <s v="Víctor Lemos"/>
    <x v="2"/>
    <d v="2024-06-12T00:00:00"/>
    <x v="0"/>
    <n v="10"/>
    <x v="1"/>
    <x v="1"/>
    <x v="1"/>
    <x v="0"/>
    <n v="20"/>
    <n v="10"/>
    <n v="20"/>
  </r>
  <r>
    <n v="3339"/>
    <s v="Wilma Barros"/>
    <x v="1"/>
    <d v="2024-06-13T00:00:00"/>
    <x v="1"/>
    <n v="5"/>
    <x v="2"/>
    <x v="1"/>
    <x v="1"/>
    <x v="1"/>
    <n v="0"/>
    <n v="1"/>
    <n v="4"/>
  </r>
  <r>
    <n v="3340"/>
    <s v="Xavier Nascimento"/>
    <x v="0"/>
    <d v="2024-06-14T00:00:00"/>
    <x v="0"/>
    <n v="15"/>
    <x v="0"/>
    <x v="0"/>
    <x v="0"/>
    <x v="0"/>
    <n v="20"/>
    <n v="15"/>
    <n v="50"/>
  </r>
  <r>
    <n v="3341"/>
    <s v="Yago Pereira"/>
    <x v="2"/>
    <d v="2024-06-15T00:00:00"/>
    <x v="1"/>
    <n v="10"/>
    <x v="0"/>
    <x v="1"/>
    <x v="1"/>
    <x v="0"/>
    <n v="20"/>
    <n v="5"/>
    <n v="25"/>
  </r>
  <r>
    <n v="3342"/>
    <s v="Zilda Ferreira"/>
    <x v="1"/>
    <d v="2024-06-16T00:00:00"/>
    <x v="0"/>
    <n v="5"/>
    <x v="1"/>
    <x v="1"/>
    <x v="1"/>
    <x v="1"/>
    <n v="0"/>
    <n v="0"/>
    <n v="5"/>
  </r>
  <r>
    <n v="3343"/>
    <s v="Amanda Lopes"/>
    <x v="0"/>
    <d v="2024-06-17T00:00:00"/>
    <x v="1"/>
    <n v="15"/>
    <x v="2"/>
    <x v="0"/>
    <x v="0"/>
    <x v="0"/>
    <n v="20"/>
    <n v="20"/>
    <n v="45"/>
  </r>
  <r>
    <n v="3344"/>
    <s v="Bruno Miranda"/>
    <x v="2"/>
    <d v="2024-06-18T00:00:00"/>
    <x v="0"/>
    <n v="10"/>
    <x v="2"/>
    <x v="1"/>
    <x v="1"/>
    <x v="0"/>
    <n v="20"/>
    <n v="12"/>
    <n v="18"/>
  </r>
  <r>
    <n v="3345"/>
    <s v="Célia Torres"/>
    <x v="1"/>
    <d v="2024-06-19T00:00:00"/>
    <x v="1"/>
    <n v="5"/>
    <x v="0"/>
    <x v="1"/>
    <x v="1"/>
    <x v="1"/>
    <n v="0"/>
    <n v="2"/>
    <n v="3"/>
  </r>
  <r>
    <n v="3346"/>
    <s v="Diogo Souza"/>
    <x v="0"/>
    <d v="2024-06-20T00:00:00"/>
    <x v="0"/>
    <n v="15"/>
    <x v="1"/>
    <x v="0"/>
    <x v="0"/>
    <x v="0"/>
    <n v="20"/>
    <n v="5"/>
    <n v="60"/>
  </r>
  <r>
    <n v="3347"/>
    <s v="Elisa Castro"/>
    <x v="2"/>
    <d v="2024-06-21T00:00:00"/>
    <x v="1"/>
    <n v="10"/>
    <x v="0"/>
    <x v="1"/>
    <x v="1"/>
    <x v="0"/>
    <n v="20"/>
    <n v="10"/>
    <n v="20"/>
  </r>
  <r>
    <n v="3348"/>
    <s v="Fátima Lima"/>
    <x v="1"/>
    <d v="2024-06-22T00:00:00"/>
    <x v="0"/>
    <n v="5"/>
    <x v="2"/>
    <x v="1"/>
    <x v="1"/>
    <x v="1"/>
    <n v="0"/>
    <n v="0"/>
    <n v="5"/>
  </r>
  <r>
    <n v="3349"/>
    <s v="Geraldo Ribeiro"/>
    <x v="0"/>
    <d v="2024-06-23T00:00:00"/>
    <x v="1"/>
    <n v="15"/>
    <x v="0"/>
    <x v="0"/>
    <x v="0"/>
    <x v="0"/>
    <n v="20"/>
    <n v="3"/>
    <n v="62"/>
  </r>
  <r>
    <n v="3350"/>
    <s v="Hélio Martins"/>
    <x v="2"/>
    <d v="2024-06-24T00:00:00"/>
    <x v="0"/>
    <n v="10"/>
    <x v="1"/>
    <x v="1"/>
    <x v="1"/>
    <x v="0"/>
    <n v="20"/>
    <n v="15"/>
    <n v="15"/>
  </r>
  <r>
    <n v="3351"/>
    <s v="Íris Santos"/>
    <x v="1"/>
    <d v="2024-06-25T00:00:00"/>
    <x v="1"/>
    <n v="5"/>
    <x v="0"/>
    <x v="1"/>
    <x v="1"/>
    <x v="1"/>
    <n v="0"/>
    <n v="1"/>
    <n v="4"/>
  </r>
  <r>
    <n v="3352"/>
    <s v="João Marcelo"/>
    <x v="0"/>
    <d v="2024-06-26T00:00:00"/>
    <x v="0"/>
    <n v="15"/>
    <x v="2"/>
    <x v="0"/>
    <x v="0"/>
    <x v="0"/>
    <n v="20"/>
    <n v="7"/>
    <n v="58"/>
  </r>
  <r>
    <n v="3353"/>
    <s v="Larissa Gomes"/>
    <x v="2"/>
    <d v="2024-06-27T00:00:00"/>
    <x v="1"/>
    <n v="10"/>
    <x v="0"/>
    <x v="1"/>
    <x v="1"/>
    <x v="0"/>
    <n v="20"/>
    <n v="10"/>
    <n v="20"/>
  </r>
  <r>
    <n v="3354"/>
    <s v="Márcio Silva"/>
    <x v="1"/>
    <d v="2024-06-28T00:00:00"/>
    <x v="0"/>
    <n v="5"/>
    <x v="1"/>
    <x v="1"/>
    <x v="1"/>
    <x v="1"/>
    <n v="0"/>
    <n v="0"/>
    <n v="5"/>
  </r>
  <r>
    <n v="3355"/>
    <s v="Nadia Costa"/>
    <x v="0"/>
    <d v="2024-06-29T00:00:00"/>
    <x v="1"/>
    <n v="15"/>
    <x v="0"/>
    <x v="0"/>
    <x v="0"/>
    <x v="0"/>
    <n v="20"/>
    <n v="20"/>
    <n v="45"/>
  </r>
  <r>
    <n v="3356"/>
    <s v="Oscar Almeida"/>
    <x v="2"/>
    <d v="2024-06-30T00:00:00"/>
    <x v="0"/>
    <n v="10"/>
    <x v="2"/>
    <x v="1"/>
    <x v="1"/>
    <x v="0"/>
    <n v="20"/>
    <n v="15"/>
    <n v="15"/>
  </r>
  <r>
    <n v="3357"/>
    <s v="Patricia Soares"/>
    <x v="1"/>
    <d v="2024-07-01T00:00:00"/>
    <x v="1"/>
    <n v="5"/>
    <x v="0"/>
    <x v="1"/>
    <x v="1"/>
    <x v="1"/>
    <n v="0"/>
    <n v="1"/>
    <n v="4"/>
  </r>
  <r>
    <n v="3358"/>
    <s v="Quênia Barros"/>
    <x v="0"/>
    <d v="2024-07-02T00:00:00"/>
    <x v="0"/>
    <n v="15"/>
    <x v="1"/>
    <x v="0"/>
    <x v="0"/>
    <x v="0"/>
    <n v="20"/>
    <n v="3"/>
    <n v="62"/>
  </r>
  <r>
    <n v="3359"/>
    <s v="Rafael Torres"/>
    <x v="2"/>
    <d v="2024-07-03T00:00:00"/>
    <x v="1"/>
    <n v="10"/>
    <x v="0"/>
    <x v="1"/>
    <x v="1"/>
    <x v="0"/>
    <n v="20"/>
    <n v="10"/>
    <n v="20"/>
  </r>
  <r>
    <n v="3360"/>
    <s v="Silvia Nascimento"/>
    <x v="1"/>
    <d v="2024-07-04T00:00:00"/>
    <x v="0"/>
    <n v="5"/>
    <x v="2"/>
    <x v="1"/>
    <x v="1"/>
    <x v="1"/>
    <n v="0"/>
    <n v="0"/>
    <n v="5"/>
  </r>
  <r>
    <n v="3361"/>
    <s v="Tiago Mendes"/>
    <x v="0"/>
    <d v="2024-07-05T00:00:00"/>
    <x v="1"/>
    <n v="15"/>
    <x v="0"/>
    <x v="0"/>
    <x v="0"/>
    <x v="0"/>
    <n v="20"/>
    <n v="15"/>
    <n v="50"/>
  </r>
  <r>
    <n v="3362"/>
    <s v="Ursula Silva"/>
    <x v="2"/>
    <d v="2024-07-06T00:00:00"/>
    <x v="0"/>
    <n v="10"/>
    <x v="1"/>
    <x v="1"/>
    <x v="1"/>
    <x v="0"/>
    <n v="20"/>
    <n v="15"/>
    <n v="15"/>
  </r>
  <r>
    <n v="3363"/>
    <s v="Vanessa Moraes"/>
    <x v="1"/>
    <d v="2024-07-07T00:00:00"/>
    <x v="1"/>
    <n v="5"/>
    <x v="0"/>
    <x v="1"/>
    <x v="1"/>
    <x v="1"/>
    <n v="0"/>
    <n v="1"/>
    <n v="4"/>
  </r>
  <r>
    <n v="3364"/>
    <s v="Waldir Junior"/>
    <x v="0"/>
    <d v="2024-07-08T00:00:00"/>
    <x v="0"/>
    <n v="15"/>
    <x v="2"/>
    <x v="0"/>
    <x v="0"/>
    <x v="0"/>
    <n v="20"/>
    <n v="7"/>
    <n v="58"/>
  </r>
  <r>
    <n v="3365"/>
    <s v="Xavier Lopes"/>
    <x v="2"/>
    <d v="2024-07-09T00:00:00"/>
    <x v="1"/>
    <n v="10"/>
    <x v="0"/>
    <x v="1"/>
    <x v="1"/>
    <x v="0"/>
    <n v="20"/>
    <n v="10"/>
    <n v="20"/>
  </r>
  <r>
    <n v="3366"/>
    <s v="Yolanda Freitas"/>
    <x v="1"/>
    <d v="2024-07-10T00:00:00"/>
    <x v="0"/>
    <n v="5"/>
    <x v="0"/>
    <x v="1"/>
    <x v="1"/>
    <x v="1"/>
    <n v="0"/>
    <n v="0"/>
    <n v="5"/>
  </r>
  <r>
    <n v="3367"/>
    <s v="Zacarias Nunes"/>
    <x v="0"/>
    <d v="2024-07-11T00:00:00"/>
    <x v="1"/>
    <n v="15"/>
    <x v="2"/>
    <x v="0"/>
    <x v="0"/>
    <x v="0"/>
    <n v="20"/>
    <n v="7"/>
    <n v="58"/>
  </r>
  <r>
    <n v="3368"/>
    <s v="Ana Clara Barreto"/>
    <x v="2"/>
    <d v="2024-07-12T00:00:00"/>
    <x v="0"/>
    <n v="10"/>
    <x v="1"/>
    <x v="1"/>
    <x v="1"/>
    <x v="0"/>
    <n v="20"/>
    <n v="10"/>
    <n v="20"/>
  </r>
  <r>
    <n v="3369"/>
    <s v="Bruno Henrique"/>
    <x v="1"/>
    <d v="2024-07-13T00:00:00"/>
    <x v="1"/>
    <n v="5"/>
    <x v="2"/>
    <x v="1"/>
    <x v="1"/>
    <x v="1"/>
    <n v="0"/>
    <n v="1"/>
    <n v="4"/>
  </r>
  <r>
    <n v="3370"/>
    <s v="Carlos Eduardo"/>
    <x v="0"/>
    <d v="2024-07-14T00:00:00"/>
    <x v="0"/>
    <n v="15"/>
    <x v="0"/>
    <x v="0"/>
    <x v="0"/>
    <x v="0"/>
    <n v="20"/>
    <n v="15"/>
    <n v="50"/>
  </r>
  <r>
    <n v="3371"/>
    <s v="Débora Lima"/>
    <x v="2"/>
    <d v="2024-07-15T00:00:00"/>
    <x v="1"/>
    <n v="10"/>
    <x v="0"/>
    <x v="1"/>
    <x v="1"/>
    <x v="0"/>
    <n v="20"/>
    <n v="5"/>
    <n v="25"/>
  </r>
  <r>
    <n v="3372"/>
    <s v="Elisa Neves"/>
    <x v="1"/>
    <d v="2024-07-16T00:00:00"/>
    <x v="0"/>
    <n v="5"/>
    <x v="1"/>
    <x v="1"/>
    <x v="1"/>
    <x v="1"/>
    <n v="0"/>
    <n v="0"/>
    <n v="5"/>
  </r>
  <r>
    <n v="3373"/>
    <s v="Fabiano Gomes"/>
    <x v="0"/>
    <d v="2024-07-17T00:00:00"/>
    <x v="1"/>
    <n v="15"/>
    <x v="2"/>
    <x v="0"/>
    <x v="0"/>
    <x v="0"/>
    <n v="20"/>
    <n v="20"/>
    <n v="45"/>
  </r>
  <r>
    <n v="3374"/>
    <s v="Gisele Oliveira"/>
    <x v="2"/>
    <d v="2024-07-18T00:00:00"/>
    <x v="0"/>
    <n v="10"/>
    <x v="2"/>
    <x v="1"/>
    <x v="1"/>
    <x v="0"/>
    <n v="20"/>
    <n v="12"/>
    <n v="18"/>
  </r>
  <r>
    <n v="3375"/>
    <s v="Héctor Silva"/>
    <x v="1"/>
    <d v="2024-07-19T00:00:00"/>
    <x v="1"/>
    <n v="5"/>
    <x v="0"/>
    <x v="1"/>
    <x v="1"/>
    <x v="1"/>
    <n v="0"/>
    <n v="2"/>
    <n v="3"/>
  </r>
  <r>
    <n v="3376"/>
    <s v="Igor Martins"/>
    <x v="0"/>
    <d v="2024-07-20T00:00:00"/>
    <x v="0"/>
    <n v="15"/>
    <x v="1"/>
    <x v="0"/>
    <x v="0"/>
    <x v="0"/>
    <n v="20"/>
    <n v="5"/>
    <n v="60"/>
  </r>
  <r>
    <n v="3377"/>
    <s v="Joana Figueiredo"/>
    <x v="2"/>
    <d v="2024-07-21T00:00:00"/>
    <x v="1"/>
    <n v="10"/>
    <x v="0"/>
    <x v="1"/>
    <x v="1"/>
    <x v="0"/>
    <n v="20"/>
    <n v="10"/>
    <n v="20"/>
  </r>
  <r>
    <n v="3378"/>
    <s v="Kleber Machado"/>
    <x v="1"/>
    <d v="2024-07-22T00:00:00"/>
    <x v="0"/>
    <n v="5"/>
    <x v="2"/>
    <x v="1"/>
    <x v="1"/>
    <x v="1"/>
    <n v="0"/>
    <n v="0"/>
    <n v="5"/>
  </r>
  <r>
    <n v="3379"/>
    <s v="Luciana Santos"/>
    <x v="0"/>
    <d v="2024-07-23T00:00:00"/>
    <x v="1"/>
    <n v="15"/>
    <x v="0"/>
    <x v="0"/>
    <x v="0"/>
    <x v="0"/>
    <n v="20"/>
    <n v="3"/>
    <n v="62"/>
  </r>
  <r>
    <n v="3380"/>
    <s v="Marcos Teixeira"/>
    <x v="2"/>
    <d v="2024-07-24T00:00:00"/>
    <x v="0"/>
    <n v="10"/>
    <x v="1"/>
    <x v="1"/>
    <x v="1"/>
    <x v="0"/>
    <n v="20"/>
    <n v="15"/>
    <n v="15"/>
  </r>
  <r>
    <n v="3381"/>
    <s v="Natalia Costa"/>
    <x v="1"/>
    <d v="2024-07-25T00:00:00"/>
    <x v="1"/>
    <n v="5"/>
    <x v="0"/>
    <x v="1"/>
    <x v="1"/>
    <x v="1"/>
    <n v="0"/>
    <n v="1"/>
    <n v="4"/>
  </r>
  <r>
    <n v="3382"/>
    <s v="Oscar Ribeiro"/>
    <x v="0"/>
    <d v="2024-07-26T00:00:00"/>
    <x v="0"/>
    <n v="15"/>
    <x v="2"/>
    <x v="0"/>
    <x v="0"/>
    <x v="0"/>
    <n v="20"/>
    <n v="7"/>
    <n v="58"/>
  </r>
  <r>
    <n v="3383"/>
    <s v="Patricia Almeida"/>
    <x v="2"/>
    <d v="2024-07-27T00:00:00"/>
    <x v="1"/>
    <n v="10"/>
    <x v="0"/>
    <x v="1"/>
    <x v="1"/>
    <x v="0"/>
    <n v="20"/>
    <n v="10"/>
    <n v="20"/>
  </r>
  <r>
    <n v="3384"/>
    <s v="Quirino Junior"/>
    <x v="1"/>
    <d v="2024-07-28T00:00:00"/>
    <x v="0"/>
    <n v="5"/>
    <x v="1"/>
    <x v="1"/>
    <x v="1"/>
    <x v="1"/>
    <n v="0"/>
    <n v="0"/>
    <n v="5"/>
  </r>
  <r>
    <n v="3385"/>
    <s v="Renata Machado"/>
    <x v="0"/>
    <d v="2024-07-29T00:00:00"/>
    <x v="1"/>
    <n v="15"/>
    <x v="0"/>
    <x v="0"/>
    <x v="0"/>
    <x v="0"/>
    <n v="20"/>
    <n v="20"/>
    <n v="45"/>
  </r>
  <r>
    <n v="3386"/>
    <s v="Sônia Alves"/>
    <x v="2"/>
    <d v="2024-07-30T00:00:00"/>
    <x v="0"/>
    <n v="10"/>
    <x v="2"/>
    <x v="1"/>
    <x v="1"/>
    <x v="0"/>
    <n v="20"/>
    <n v="15"/>
    <n v="15"/>
  </r>
  <r>
    <n v="3387"/>
    <s v="Tiago Nunes"/>
    <x v="1"/>
    <d v="2024-07-31T00:00:00"/>
    <x v="1"/>
    <n v="5"/>
    <x v="0"/>
    <x v="1"/>
    <x v="1"/>
    <x v="1"/>
    <n v="0"/>
    <n v="1"/>
    <n v="4"/>
  </r>
  <r>
    <n v="3388"/>
    <s v="Ulysses Pereira"/>
    <x v="0"/>
    <d v="2024-08-01T00:00:00"/>
    <x v="0"/>
    <n v="15"/>
    <x v="1"/>
    <x v="0"/>
    <x v="0"/>
    <x v="0"/>
    <n v="20"/>
    <n v="3"/>
    <n v="62"/>
  </r>
  <r>
    <n v="3389"/>
    <s v="Vanessa Lima"/>
    <x v="2"/>
    <d v="2024-08-02T00:00:00"/>
    <x v="1"/>
    <n v="10"/>
    <x v="0"/>
    <x v="1"/>
    <x v="1"/>
    <x v="0"/>
    <n v="20"/>
    <n v="10"/>
    <n v="20"/>
  </r>
  <r>
    <n v="3390"/>
    <s v="Wagner Santos"/>
    <x v="1"/>
    <d v="2024-08-03T00:00:00"/>
    <x v="0"/>
    <n v="5"/>
    <x v="2"/>
    <x v="1"/>
    <x v="1"/>
    <x v="1"/>
    <n v="0"/>
    <n v="0"/>
    <n v="5"/>
  </r>
  <r>
    <n v="3391"/>
    <s v="Xuxa Meneghel"/>
    <x v="0"/>
    <d v="2024-08-04T00:00:00"/>
    <x v="1"/>
    <n v="15"/>
    <x v="0"/>
    <x v="0"/>
    <x v="0"/>
    <x v="0"/>
    <n v="20"/>
    <n v="15"/>
    <n v="50"/>
  </r>
  <r>
    <n v="3392"/>
    <s v="Yasmin Silva"/>
    <x v="2"/>
    <d v="2024-08-05T00:00:00"/>
    <x v="0"/>
    <n v="10"/>
    <x v="1"/>
    <x v="1"/>
    <x v="1"/>
    <x v="0"/>
    <n v="20"/>
    <n v="15"/>
    <n v="15"/>
  </r>
  <r>
    <n v="3393"/>
    <s v="Zacarias de Souza"/>
    <x v="1"/>
    <d v="2024-08-06T00:00:00"/>
    <x v="1"/>
    <n v="5"/>
    <x v="0"/>
    <x v="1"/>
    <x v="1"/>
    <x v="1"/>
    <n v="0"/>
    <n v="1"/>
    <n v="4"/>
  </r>
  <r>
    <n v="3394"/>
    <s v="André Lima"/>
    <x v="0"/>
    <d v="2024-08-07T00:00:00"/>
    <x v="0"/>
    <n v="15"/>
    <x v="2"/>
    <x v="0"/>
    <x v="0"/>
    <x v="0"/>
    <n v="20"/>
    <n v="7"/>
    <n v="58"/>
  </r>
  <r>
    <n v="3395"/>
    <s v="Bianca Freitas"/>
    <x v="2"/>
    <d v="2024-08-08T00:00:00"/>
    <x v="1"/>
    <n v="10"/>
    <x v="0"/>
    <x v="1"/>
    <x v="1"/>
    <x v="0"/>
    <n v="20"/>
    <n v="10"/>
    <n v="20"/>
  </r>
  <r>
    <n v="3396"/>
    <s v="Caio Mendes"/>
    <x v="1"/>
    <d v="2024-08-09T00:00:00"/>
    <x v="0"/>
    <n v="5"/>
    <x v="1"/>
    <x v="1"/>
    <x v="1"/>
    <x v="1"/>
    <n v="0"/>
    <n v="0"/>
    <n v="5"/>
  </r>
  <r>
    <n v="3397"/>
    <s v="Daniela Moura"/>
    <x v="0"/>
    <d v="2024-08-10T00:00:00"/>
    <x v="1"/>
    <n v="15"/>
    <x v="0"/>
    <x v="0"/>
    <x v="0"/>
    <x v="0"/>
    <n v="20"/>
    <n v="20"/>
    <n v="45"/>
  </r>
  <r>
    <n v="3398"/>
    <s v="Eduardo Costa"/>
    <x v="2"/>
    <d v="2024-08-11T00:00:00"/>
    <x v="0"/>
    <n v="10"/>
    <x v="2"/>
    <x v="1"/>
    <x v="1"/>
    <x v="0"/>
    <n v="20"/>
    <n v="15"/>
    <n v="15"/>
  </r>
  <r>
    <n v="3399"/>
    <s v="Fernanda Gomes"/>
    <x v="1"/>
    <d v="2024-08-12T00:00:00"/>
    <x v="1"/>
    <n v="5"/>
    <x v="0"/>
    <x v="1"/>
    <x v="1"/>
    <x v="1"/>
    <n v="0"/>
    <n v="1"/>
    <n v="4"/>
  </r>
  <r>
    <n v="3400"/>
    <s v="Guilherme Souza"/>
    <x v="0"/>
    <d v="2024-08-13T00:00:00"/>
    <x v="0"/>
    <n v="15"/>
    <x v="1"/>
    <x v="0"/>
    <x v="0"/>
    <x v="0"/>
    <n v="20"/>
    <n v="5"/>
    <n v="60"/>
  </r>
  <r>
    <n v="3401"/>
    <s v="Helena Ribeiro"/>
    <x v="2"/>
    <d v="2024-08-14T00:00:00"/>
    <x v="1"/>
    <n v="10"/>
    <x v="0"/>
    <x v="1"/>
    <x v="1"/>
    <x v="0"/>
    <n v="20"/>
    <n v="10"/>
    <n v="20"/>
  </r>
  <r>
    <n v="3402"/>
    <s v="Igor Santos"/>
    <x v="1"/>
    <d v="2024-08-15T00:00:00"/>
    <x v="0"/>
    <n v="5"/>
    <x v="2"/>
    <x v="1"/>
    <x v="1"/>
    <x v="1"/>
    <n v="0"/>
    <n v="0"/>
    <n v="5"/>
  </r>
  <r>
    <n v="3403"/>
    <s v="João Carvalho"/>
    <x v="0"/>
    <d v="2024-08-16T00:00:00"/>
    <x v="1"/>
    <n v="15"/>
    <x v="0"/>
    <x v="0"/>
    <x v="0"/>
    <x v="0"/>
    <n v="20"/>
    <n v="3"/>
    <n v="62"/>
  </r>
  <r>
    <n v="3404"/>
    <s v="Klara Fagundes"/>
    <x v="2"/>
    <d v="2024-08-17T00:00:00"/>
    <x v="0"/>
    <n v="10"/>
    <x v="1"/>
    <x v="1"/>
    <x v="1"/>
    <x v="0"/>
    <n v="20"/>
    <n v="15"/>
    <n v="15"/>
  </r>
  <r>
    <n v="3405"/>
    <s v="Lúcia Mendonça"/>
    <x v="1"/>
    <d v="2024-08-18T00:00:00"/>
    <x v="1"/>
    <n v="5"/>
    <x v="0"/>
    <x v="1"/>
    <x v="1"/>
    <x v="1"/>
    <n v="0"/>
    <n v="1"/>
    <n v="4"/>
  </r>
  <r>
    <n v="3406"/>
    <s v="Marcelo Novaes"/>
    <x v="1"/>
    <d v="2024-08-19T00:00:00"/>
    <x v="0"/>
    <n v="5"/>
    <x v="0"/>
    <x v="1"/>
    <x v="1"/>
    <x v="1"/>
    <n v="0"/>
    <n v="0"/>
    <n v="5"/>
  </r>
  <r>
    <n v="3407"/>
    <s v="Nina Pacheco"/>
    <x v="0"/>
    <d v="2024-08-20T00:00:00"/>
    <x v="1"/>
    <n v="15"/>
    <x v="2"/>
    <x v="0"/>
    <x v="0"/>
    <x v="0"/>
    <n v="20"/>
    <n v="7"/>
    <n v="58"/>
  </r>
  <r>
    <n v="3408"/>
    <s v="Olívia Rios"/>
    <x v="2"/>
    <d v="2024-08-21T00:00:00"/>
    <x v="0"/>
    <n v="10"/>
    <x v="1"/>
    <x v="1"/>
    <x v="1"/>
    <x v="0"/>
    <n v="20"/>
    <n v="10"/>
    <n v="20"/>
  </r>
  <r>
    <n v="3409"/>
    <s v="Paulo Quintana"/>
    <x v="1"/>
    <d v="2024-08-22T00:00:00"/>
    <x v="1"/>
    <n v="5"/>
    <x v="2"/>
    <x v="1"/>
    <x v="1"/>
    <x v="1"/>
    <n v="0"/>
    <n v="1"/>
    <n v="4"/>
  </r>
  <r>
    <n v="3410"/>
    <s v="Raquel Domingos"/>
    <x v="0"/>
    <d v="2024-08-23T00:00:00"/>
    <x v="0"/>
    <n v="15"/>
    <x v="0"/>
    <x v="0"/>
    <x v="0"/>
    <x v="0"/>
    <n v="20"/>
    <n v="15"/>
    <n v="50"/>
  </r>
  <r>
    <n v="3411"/>
    <s v="Samuel Viana"/>
    <x v="2"/>
    <d v="2024-08-24T00:00:00"/>
    <x v="1"/>
    <n v="10"/>
    <x v="0"/>
    <x v="1"/>
    <x v="1"/>
    <x v="0"/>
    <n v="20"/>
    <n v="5"/>
    <n v="25"/>
  </r>
  <r>
    <n v="3412"/>
    <s v="Tatiane Rocha"/>
    <x v="1"/>
    <d v="2024-08-25T00:00:00"/>
    <x v="0"/>
    <n v="5"/>
    <x v="1"/>
    <x v="1"/>
    <x v="1"/>
    <x v="1"/>
    <n v="0"/>
    <n v="0"/>
    <n v="5"/>
  </r>
  <r>
    <n v="3413"/>
    <s v="Ulysses Farias"/>
    <x v="0"/>
    <d v="2024-08-26T00:00:00"/>
    <x v="1"/>
    <n v="15"/>
    <x v="2"/>
    <x v="0"/>
    <x v="0"/>
    <x v="0"/>
    <n v="20"/>
    <n v="20"/>
    <n v="45"/>
  </r>
  <r>
    <n v="3414"/>
    <s v="Vanessa Moreira"/>
    <x v="2"/>
    <d v="2024-08-27T00:00:00"/>
    <x v="0"/>
    <n v="10"/>
    <x v="2"/>
    <x v="1"/>
    <x v="1"/>
    <x v="0"/>
    <n v="20"/>
    <n v="12"/>
    <n v="18"/>
  </r>
  <r>
    <n v="3415"/>
    <s v="William Carvalho"/>
    <x v="1"/>
    <d v="2024-08-28T00:00:00"/>
    <x v="1"/>
    <n v="5"/>
    <x v="0"/>
    <x v="1"/>
    <x v="1"/>
    <x v="1"/>
    <n v="0"/>
    <n v="2"/>
    <n v="3"/>
  </r>
  <r>
    <n v="3416"/>
    <s v="Ximena Barros"/>
    <x v="0"/>
    <d v="2024-08-29T00:00:00"/>
    <x v="0"/>
    <n v="15"/>
    <x v="1"/>
    <x v="0"/>
    <x v="0"/>
    <x v="0"/>
    <n v="20"/>
    <n v="5"/>
    <n v="60"/>
  </r>
  <r>
    <n v="3417"/>
    <s v="Yara Machado"/>
    <x v="2"/>
    <d v="2024-08-30T00:00:00"/>
    <x v="1"/>
    <n v="10"/>
    <x v="0"/>
    <x v="1"/>
    <x v="1"/>
    <x v="0"/>
    <n v="20"/>
    <n v="10"/>
    <n v="20"/>
  </r>
  <r>
    <n v="3418"/>
    <s v="Zacarias Costa"/>
    <x v="1"/>
    <d v="2024-08-31T00:00:00"/>
    <x v="0"/>
    <n v="5"/>
    <x v="2"/>
    <x v="1"/>
    <x v="1"/>
    <x v="1"/>
    <n v="0"/>
    <n v="0"/>
    <n v="5"/>
  </r>
  <r>
    <n v="3419"/>
    <s v="André Lopes"/>
    <x v="0"/>
    <d v="2024-09-01T00:00:00"/>
    <x v="1"/>
    <n v="15"/>
    <x v="0"/>
    <x v="0"/>
    <x v="0"/>
    <x v="0"/>
    <n v="20"/>
    <n v="3"/>
    <n v="62"/>
  </r>
  <r>
    <n v="3420"/>
    <s v="Beatriz Souza"/>
    <x v="2"/>
    <d v="2024-09-02T00:00:00"/>
    <x v="0"/>
    <n v="10"/>
    <x v="1"/>
    <x v="1"/>
    <x v="1"/>
    <x v="0"/>
    <n v="20"/>
    <n v="15"/>
    <n v="15"/>
  </r>
  <r>
    <n v="3421"/>
    <s v="Caio Pereira"/>
    <x v="1"/>
    <d v="2024-09-03T00:00:00"/>
    <x v="1"/>
    <n v="5"/>
    <x v="0"/>
    <x v="1"/>
    <x v="1"/>
    <x v="1"/>
    <n v="0"/>
    <n v="1"/>
    <n v="4"/>
  </r>
  <r>
    <n v="3422"/>
    <s v="Daniela Araújo"/>
    <x v="0"/>
    <d v="2024-09-04T00:00:00"/>
    <x v="0"/>
    <n v="15"/>
    <x v="2"/>
    <x v="0"/>
    <x v="0"/>
    <x v="0"/>
    <n v="20"/>
    <n v="7"/>
    <n v="58"/>
  </r>
  <r>
    <n v="3423"/>
    <s v="Eduardo Santos"/>
    <x v="2"/>
    <d v="2024-09-05T00:00:00"/>
    <x v="1"/>
    <n v="10"/>
    <x v="0"/>
    <x v="1"/>
    <x v="1"/>
    <x v="0"/>
    <n v="20"/>
    <n v="10"/>
    <n v="20"/>
  </r>
  <r>
    <n v="3424"/>
    <s v="Fernanda Lima"/>
    <x v="1"/>
    <d v="2024-09-06T00:00:00"/>
    <x v="0"/>
    <n v="5"/>
    <x v="1"/>
    <x v="1"/>
    <x v="1"/>
    <x v="1"/>
    <n v="0"/>
    <n v="0"/>
    <n v="5"/>
  </r>
  <r>
    <n v="3425"/>
    <s v="Gabriel Teixeira"/>
    <x v="0"/>
    <d v="2024-09-07T00:00:00"/>
    <x v="1"/>
    <n v="15"/>
    <x v="0"/>
    <x v="0"/>
    <x v="0"/>
    <x v="0"/>
    <n v="20"/>
    <n v="20"/>
    <n v="45"/>
  </r>
  <r>
    <n v="3426"/>
    <s v="Helena Ribeiro"/>
    <x v="2"/>
    <d v="2024-09-08T00:00:00"/>
    <x v="0"/>
    <n v="10"/>
    <x v="2"/>
    <x v="1"/>
    <x v="1"/>
    <x v="0"/>
    <n v="20"/>
    <n v="15"/>
    <n v="15"/>
  </r>
  <r>
    <n v="3427"/>
    <s v="Igor Mendes"/>
    <x v="1"/>
    <d v="2024-09-09T00:00:00"/>
    <x v="1"/>
    <n v="5"/>
    <x v="0"/>
    <x v="1"/>
    <x v="1"/>
    <x v="1"/>
    <n v="0"/>
    <n v="1"/>
    <n v="4"/>
  </r>
  <r>
    <n v="3428"/>
    <s v="Joana Silveira"/>
    <x v="0"/>
    <d v="2024-09-10T00:00:00"/>
    <x v="0"/>
    <n v="15"/>
    <x v="1"/>
    <x v="0"/>
    <x v="0"/>
    <x v="0"/>
    <n v="20"/>
    <n v="3"/>
    <n v="62"/>
  </r>
  <r>
    <n v="3429"/>
    <s v="Lucas Martins"/>
    <x v="2"/>
    <d v="2024-09-11T00:00:00"/>
    <x v="1"/>
    <n v="10"/>
    <x v="0"/>
    <x v="1"/>
    <x v="1"/>
    <x v="0"/>
    <n v="20"/>
    <n v="10"/>
    <n v="20"/>
  </r>
  <r>
    <n v="3430"/>
    <s v="Marcela Gouveia"/>
    <x v="1"/>
    <d v="2024-09-12T00:00:00"/>
    <x v="0"/>
    <n v="5"/>
    <x v="2"/>
    <x v="1"/>
    <x v="1"/>
    <x v="1"/>
    <n v="0"/>
    <n v="0"/>
    <n v="5"/>
  </r>
  <r>
    <n v="3431"/>
    <s v="Nicolas Borges"/>
    <x v="0"/>
    <d v="2024-09-13T00:00:00"/>
    <x v="1"/>
    <n v="15"/>
    <x v="0"/>
    <x v="0"/>
    <x v="0"/>
    <x v="0"/>
    <n v="20"/>
    <n v="15"/>
    <n v="50"/>
  </r>
  <r>
    <n v="3432"/>
    <s v="Olivia Freitas"/>
    <x v="2"/>
    <d v="2024-09-14T00:00:00"/>
    <x v="0"/>
    <n v="10"/>
    <x v="1"/>
    <x v="1"/>
    <x v="1"/>
    <x v="0"/>
    <n v="20"/>
    <n v="15"/>
    <n v="15"/>
  </r>
  <r>
    <n v="3433"/>
    <s v="Paulo Nogueira"/>
    <x v="1"/>
    <d v="2024-09-15T00:00:00"/>
    <x v="1"/>
    <n v="5"/>
    <x v="0"/>
    <x v="1"/>
    <x v="1"/>
    <x v="1"/>
    <n v="0"/>
    <n v="1"/>
    <n v="4"/>
  </r>
  <r>
    <n v="3434"/>
    <s v="Raquel Andrade"/>
    <x v="0"/>
    <d v="2024-09-16T00:00:00"/>
    <x v="0"/>
    <n v="15"/>
    <x v="2"/>
    <x v="0"/>
    <x v="0"/>
    <x v="0"/>
    <n v="20"/>
    <n v="7"/>
    <n v="58"/>
  </r>
  <r>
    <n v="3435"/>
    <s v="Sônia Carvalho"/>
    <x v="2"/>
    <d v="2024-09-17T00:00:00"/>
    <x v="1"/>
    <n v="10"/>
    <x v="0"/>
    <x v="1"/>
    <x v="1"/>
    <x v="0"/>
    <n v="20"/>
    <n v="10"/>
    <n v="20"/>
  </r>
  <r>
    <n v="3436"/>
    <s v="Tiago Rodrigues"/>
    <x v="1"/>
    <d v="2024-09-18T00:00:00"/>
    <x v="0"/>
    <n v="5"/>
    <x v="0"/>
    <x v="1"/>
    <x v="1"/>
    <x v="1"/>
    <n v="0"/>
    <n v="0"/>
    <n v="5"/>
  </r>
  <r>
    <n v="3437"/>
    <s v="Ursula Monteiro"/>
    <x v="0"/>
    <d v="2024-09-19T00:00:00"/>
    <x v="1"/>
    <n v="15"/>
    <x v="2"/>
    <x v="0"/>
    <x v="0"/>
    <x v="0"/>
    <n v="20"/>
    <n v="7"/>
    <n v="58"/>
  </r>
  <r>
    <n v="3438"/>
    <s v="Vanessa Pereira"/>
    <x v="2"/>
    <d v="2024-09-20T00:00:00"/>
    <x v="0"/>
    <n v="10"/>
    <x v="1"/>
    <x v="1"/>
    <x v="1"/>
    <x v="0"/>
    <n v="20"/>
    <n v="10"/>
    <n v="20"/>
  </r>
  <r>
    <n v="3439"/>
    <s v="Walter Silva"/>
    <x v="1"/>
    <d v="2024-09-21T00:00:00"/>
    <x v="1"/>
    <n v="5"/>
    <x v="2"/>
    <x v="1"/>
    <x v="1"/>
    <x v="1"/>
    <n v="0"/>
    <n v="1"/>
    <n v="4"/>
  </r>
  <r>
    <n v="3440"/>
    <s v="Xavier Almeida"/>
    <x v="0"/>
    <d v="2024-09-22T00:00:00"/>
    <x v="0"/>
    <n v="15"/>
    <x v="0"/>
    <x v="0"/>
    <x v="0"/>
    <x v="0"/>
    <n v="20"/>
    <n v="15"/>
    <n v="50"/>
  </r>
  <r>
    <n v="3441"/>
    <s v="Yasmine Correia"/>
    <x v="2"/>
    <d v="2024-09-23T00:00:00"/>
    <x v="1"/>
    <n v="10"/>
    <x v="0"/>
    <x v="1"/>
    <x v="1"/>
    <x v="0"/>
    <n v="20"/>
    <n v="5"/>
    <n v="25"/>
  </r>
  <r>
    <n v="3442"/>
    <s v="Zacarias Almeida"/>
    <x v="1"/>
    <d v="2024-09-24T00:00:00"/>
    <x v="0"/>
    <n v="5"/>
    <x v="1"/>
    <x v="1"/>
    <x v="1"/>
    <x v="1"/>
    <n v="0"/>
    <n v="0"/>
    <n v="5"/>
  </r>
  <r>
    <n v="3443"/>
    <s v="Amanda Costa"/>
    <x v="0"/>
    <d v="2024-09-25T00:00:00"/>
    <x v="1"/>
    <n v="15"/>
    <x v="2"/>
    <x v="0"/>
    <x v="0"/>
    <x v="0"/>
    <n v="20"/>
    <n v="20"/>
    <n v="45"/>
  </r>
  <r>
    <n v="3444"/>
    <s v="Bruno Ferreira"/>
    <x v="2"/>
    <d v="2024-09-26T00:00:00"/>
    <x v="0"/>
    <n v="10"/>
    <x v="2"/>
    <x v="1"/>
    <x v="1"/>
    <x v="0"/>
    <n v="20"/>
    <n v="12"/>
    <n v="18"/>
  </r>
  <r>
    <n v="3445"/>
    <s v="Carla Dias"/>
    <x v="1"/>
    <d v="2024-09-27T00:00:00"/>
    <x v="1"/>
    <n v="5"/>
    <x v="0"/>
    <x v="1"/>
    <x v="1"/>
    <x v="1"/>
    <n v="0"/>
    <n v="2"/>
    <n v="3"/>
  </r>
  <r>
    <n v="3446"/>
    <s v="Diogo Martins"/>
    <x v="0"/>
    <d v="2024-09-28T00:00:00"/>
    <x v="0"/>
    <n v="15"/>
    <x v="1"/>
    <x v="0"/>
    <x v="0"/>
    <x v="0"/>
    <n v="20"/>
    <n v="5"/>
    <n v="60"/>
  </r>
  <r>
    <n v="3447"/>
    <s v="Elisa Campos"/>
    <x v="2"/>
    <d v="2024-09-29T00:00:00"/>
    <x v="1"/>
    <n v="10"/>
    <x v="0"/>
    <x v="1"/>
    <x v="1"/>
    <x v="0"/>
    <n v="20"/>
    <n v="10"/>
    <n v="20"/>
  </r>
  <r>
    <n v="3448"/>
    <s v="Fabiana Lima"/>
    <x v="1"/>
    <d v="2024-09-30T00:00:00"/>
    <x v="0"/>
    <n v="5"/>
    <x v="2"/>
    <x v="1"/>
    <x v="1"/>
    <x v="1"/>
    <n v="0"/>
    <n v="0"/>
    <n v="5"/>
  </r>
  <r>
    <n v="3449"/>
    <s v="Gabriel Santos"/>
    <x v="0"/>
    <d v="2024-10-01T00:00:00"/>
    <x v="1"/>
    <n v="15"/>
    <x v="0"/>
    <x v="0"/>
    <x v="0"/>
    <x v="0"/>
    <n v="20"/>
    <n v="3"/>
    <n v="62"/>
  </r>
  <r>
    <n v="3450"/>
    <s v="Helena Ferreira"/>
    <x v="2"/>
    <d v="2024-10-02T00:00:00"/>
    <x v="0"/>
    <n v="10"/>
    <x v="1"/>
    <x v="1"/>
    <x v="1"/>
    <x v="0"/>
    <n v="20"/>
    <n v="15"/>
    <n v="15"/>
  </r>
  <r>
    <n v="3451"/>
    <s v="Ígor Nunes"/>
    <x v="1"/>
    <d v="2024-10-03T00:00:00"/>
    <x v="1"/>
    <n v="5"/>
    <x v="0"/>
    <x v="1"/>
    <x v="1"/>
    <x v="1"/>
    <n v="0"/>
    <n v="1"/>
    <n v="4"/>
  </r>
  <r>
    <n v="3452"/>
    <s v="Joana Silveira"/>
    <x v="0"/>
    <d v="2024-10-04T00:00:00"/>
    <x v="0"/>
    <n v="15"/>
    <x v="2"/>
    <x v="0"/>
    <x v="0"/>
    <x v="0"/>
    <n v="20"/>
    <n v="7"/>
    <n v="58"/>
  </r>
  <r>
    <n v="3453"/>
    <s v="Kléber Oliveira"/>
    <x v="2"/>
    <d v="2024-10-05T00:00:00"/>
    <x v="1"/>
    <n v="10"/>
    <x v="0"/>
    <x v="1"/>
    <x v="1"/>
    <x v="0"/>
    <n v="20"/>
    <n v="10"/>
    <n v="20"/>
  </r>
  <r>
    <n v="3454"/>
    <s v="Luciana Morais"/>
    <x v="1"/>
    <d v="2024-10-06T00:00:00"/>
    <x v="0"/>
    <n v="5"/>
    <x v="1"/>
    <x v="1"/>
    <x v="1"/>
    <x v="1"/>
    <n v="0"/>
    <n v="0"/>
    <n v="5"/>
  </r>
  <r>
    <n v="3455"/>
    <s v="Marcos Vinícius"/>
    <x v="0"/>
    <d v="2024-10-07T00:00:00"/>
    <x v="1"/>
    <n v="15"/>
    <x v="0"/>
    <x v="0"/>
    <x v="0"/>
    <x v="0"/>
    <n v="20"/>
    <n v="20"/>
    <n v="45"/>
  </r>
  <r>
    <n v="3456"/>
    <s v="Natália Barros"/>
    <x v="2"/>
    <d v="2024-10-08T00:00:00"/>
    <x v="0"/>
    <n v="10"/>
    <x v="2"/>
    <x v="1"/>
    <x v="1"/>
    <x v="0"/>
    <n v="20"/>
    <n v="15"/>
    <n v="15"/>
  </r>
  <r>
    <n v="3457"/>
    <s v="Oscar Sampaio"/>
    <x v="1"/>
    <d v="2024-10-09T00:00:00"/>
    <x v="1"/>
    <n v="5"/>
    <x v="0"/>
    <x v="1"/>
    <x v="1"/>
    <x v="1"/>
    <n v="0"/>
    <n v="1"/>
    <n v="4"/>
  </r>
  <r>
    <n v="3458"/>
    <s v="Patrícia Leite"/>
    <x v="0"/>
    <d v="2024-10-10T00:00:00"/>
    <x v="0"/>
    <n v="15"/>
    <x v="1"/>
    <x v="0"/>
    <x v="0"/>
    <x v="0"/>
    <n v="20"/>
    <n v="3"/>
    <n v="62"/>
  </r>
  <r>
    <n v="3459"/>
    <s v="Quênia Rocha"/>
    <x v="2"/>
    <d v="2024-10-11T00:00:00"/>
    <x v="1"/>
    <n v="10"/>
    <x v="0"/>
    <x v="1"/>
    <x v="1"/>
    <x v="0"/>
    <n v="20"/>
    <n v="10"/>
    <n v="20"/>
  </r>
  <r>
    <n v="3460"/>
    <s v="Rafael Torres"/>
    <x v="1"/>
    <d v="2024-10-12T00:00:00"/>
    <x v="0"/>
    <n v="5"/>
    <x v="2"/>
    <x v="1"/>
    <x v="1"/>
    <x v="1"/>
    <n v="0"/>
    <n v="0"/>
    <n v="5"/>
  </r>
  <r>
    <n v="3461"/>
    <s v="Sandra Gouveia"/>
    <x v="0"/>
    <d v="2024-10-13T00:00:00"/>
    <x v="1"/>
    <n v="15"/>
    <x v="0"/>
    <x v="0"/>
    <x v="0"/>
    <x v="0"/>
    <n v="20"/>
    <n v="15"/>
    <n v="50"/>
  </r>
  <r>
    <n v="3462"/>
    <s v="Tiago Lacerda"/>
    <x v="2"/>
    <d v="2024-10-14T00:00:00"/>
    <x v="0"/>
    <n v="10"/>
    <x v="1"/>
    <x v="1"/>
    <x v="1"/>
    <x v="0"/>
    <n v="20"/>
    <n v="15"/>
    <n v="15"/>
  </r>
  <r>
    <n v="3463"/>
    <s v="Ursula Fonseca"/>
    <x v="1"/>
    <d v="2024-10-15T00:00:00"/>
    <x v="1"/>
    <n v="5"/>
    <x v="0"/>
    <x v="1"/>
    <x v="1"/>
    <x v="1"/>
    <n v="0"/>
    <n v="1"/>
    <n v="4"/>
  </r>
  <r>
    <n v="3464"/>
    <s v="Vanessa Andrade"/>
    <x v="0"/>
    <d v="2024-10-16T00:00:00"/>
    <x v="0"/>
    <n v="15"/>
    <x v="2"/>
    <x v="0"/>
    <x v="0"/>
    <x v="0"/>
    <n v="20"/>
    <n v="7"/>
    <n v="58"/>
  </r>
  <r>
    <n v="3465"/>
    <s v="William Castro"/>
    <x v="2"/>
    <d v="2024-10-17T00:00:00"/>
    <x v="1"/>
    <n v="10"/>
    <x v="0"/>
    <x v="1"/>
    <x v="1"/>
    <x v="0"/>
    <n v="20"/>
    <n v="10"/>
    <n v="20"/>
  </r>
  <r>
    <n v="3466"/>
    <s v="Xavier Monteiro"/>
    <x v="1"/>
    <d v="2024-10-18T00:00:00"/>
    <x v="0"/>
    <n v="5"/>
    <x v="1"/>
    <x v="1"/>
    <x v="1"/>
    <x v="1"/>
    <n v="0"/>
    <n v="0"/>
    <n v="5"/>
  </r>
  <r>
    <n v="3467"/>
    <s v="Yasmin Figueira"/>
    <x v="0"/>
    <d v="2024-10-19T00:00:00"/>
    <x v="1"/>
    <n v="15"/>
    <x v="0"/>
    <x v="0"/>
    <x v="0"/>
    <x v="0"/>
    <n v="20"/>
    <n v="15"/>
    <n v="50"/>
  </r>
  <r>
    <n v="3468"/>
    <s v="Zacarias Mendonça"/>
    <x v="2"/>
    <d v="2024-10-20T00:00:00"/>
    <x v="0"/>
    <n v="10"/>
    <x v="2"/>
    <x v="1"/>
    <x v="1"/>
    <x v="0"/>
    <n v="20"/>
    <n v="12"/>
    <n v="18"/>
  </r>
  <r>
    <n v="3469"/>
    <s v="Amanda Menezes"/>
    <x v="1"/>
    <d v="2024-10-21T00:00:00"/>
    <x v="1"/>
    <n v="5"/>
    <x v="0"/>
    <x v="1"/>
    <x v="1"/>
    <x v="1"/>
    <n v="0"/>
    <n v="2"/>
    <n v="3"/>
  </r>
  <r>
    <n v="3470"/>
    <s v="Bruno Santos"/>
    <x v="0"/>
    <d v="2024-10-22T00:00:00"/>
    <x v="0"/>
    <n v="15"/>
    <x v="1"/>
    <x v="0"/>
    <x v="0"/>
    <x v="0"/>
    <n v="20"/>
    <n v="5"/>
    <n v="60"/>
  </r>
  <r>
    <n v="3471"/>
    <s v="Carla Ferreira"/>
    <x v="2"/>
    <d v="2024-10-23T00:00:00"/>
    <x v="1"/>
    <n v="10"/>
    <x v="0"/>
    <x v="1"/>
    <x v="1"/>
    <x v="0"/>
    <n v="20"/>
    <n v="10"/>
    <n v="20"/>
  </r>
  <r>
    <n v="3472"/>
    <s v="Diogo Alves"/>
    <x v="1"/>
    <d v="2024-10-24T00:00:00"/>
    <x v="0"/>
    <n v="5"/>
    <x v="2"/>
    <x v="1"/>
    <x v="1"/>
    <x v="1"/>
    <n v="0"/>
    <n v="0"/>
    <n v="5"/>
  </r>
  <r>
    <n v="3473"/>
    <s v="Elisa Neves"/>
    <x v="0"/>
    <d v="2024-10-25T00:00:00"/>
    <x v="1"/>
    <n v="15"/>
    <x v="0"/>
    <x v="0"/>
    <x v="0"/>
    <x v="0"/>
    <n v="20"/>
    <n v="3"/>
    <n v="62"/>
  </r>
  <r>
    <n v="3474"/>
    <s v="Fabiano Pires"/>
    <x v="2"/>
    <d v="2024-10-26T00:00:00"/>
    <x v="0"/>
    <n v="10"/>
    <x v="1"/>
    <x v="1"/>
    <x v="1"/>
    <x v="0"/>
    <n v="20"/>
    <n v="15"/>
    <n v="15"/>
  </r>
  <r>
    <n v="3475"/>
    <s v="Giovana Ribeiro"/>
    <x v="1"/>
    <d v="2024-10-27T00:00:00"/>
    <x v="1"/>
    <n v="5"/>
    <x v="0"/>
    <x v="1"/>
    <x v="1"/>
    <x v="1"/>
    <n v="0"/>
    <n v="1"/>
    <n v="4"/>
  </r>
  <r>
    <n v="3476"/>
    <s v="Hélio Costa"/>
    <x v="0"/>
    <d v="2024-10-28T00:00:00"/>
    <x v="0"/>
    <n v="15"/>
    <x v="2"/>
    <x v="0"/>
    <x v="0"/>
    <x v="0"/>
    <n v="20"/>
    <n v="7"/>
    <n v="58"/>
  </r>
  <r>
    <n v="3477"/>
    <s v="Íris Loureiro"/>
    <x v="2"/>
    <d v="2024-10-29T00:00:00"/>
    <x v="1"/>
    <n v="10"/>
    <x v="0"/>
    <x v="1"/>
    <x v="1"/>
    <x v="0"/>
    <n v="20"/>
    <n v="10"/>
    <n v="20"/>
  </r>
  <r>
    <n v="3478"/>
    <s v="João Pereira"/>
    <x v="1"/>
    <d v="2024-10-30T00:00:00"/>
    <x v="0"/>
    <n v="5"/>
    <x v="1"/>
    <x v="1"/>
    <x v="1"/>
    <x v="1"/>
    <n v="0"/>
    <n v="0"/>
    <n v="5"/>
  </r>
  <r>
    <n v="3479"/>
    <s v="Klara Silva"/>
    <x v="0"/>
    <d v="2024-10-31T00:00:00"/>
    <x v="1"/>
    <n v="15"/>
    <x v="0"/>
    <x v="0"/>
    <x v="0"/>
    <x v="0"/>
    <n v="20"/>
    <n v="20"/>
    <n v="45"/>
  </r>
  <r>
    <n v="3480"/>
    <s v="Luciana Barros"/>
    <x v="2"/>
    <d v="2024-11-01T00:00:00"/>
    <x v="0"/>
    <n v="10"/>
    <x v="2"/>
    <x v="1"/>
    <x v="1"/>
    <x v="0"/>
    <n v="20"/>
    <n v="15"/>
    <n v="15"/>
  </r>
  <r>
    <n v="3481"/>
    <s v="Marcos Gomes"/>
    <x v="1"/>
    <d v="2024-11-02T00:00:00"/>
    <x v="1"/>
    <n v="5"/>
    <x v="0"/>
    <x v="1"/>
    <x v="1"/>
    <x v="1"/>
    <n v="0"/>
    <n v="1"/>
    <n v="4"/>
  </r>
  <r>
    <n v="3482"/>
    <s v="Natália Soares"/>
    <x v="0"/>
    <d v="2024-11-03T00:00:00"/>
    <x v="0"/>
    <n v="15"/>
    <x v="1"/>
    <x v="0"/>
    <x v="0"/>
    <x v="0"/>
    <n v="20"/>
    <n v="3"/>
    <n v="62"/>
  </r>
  <r>
    <n v="3483"/>
    <s v="Oscar Machado"/>
    <x v="2"/>
    <d v="2024-11-04T00:00:00"/>
    <x v="1"/>
    <n v="10"/>
    <x v="0"/>
    <x v="1"/>
    <x v="1"/>
    <x v="0"/>
    <n v="20"/>
    <n v="10"/>
    <n v="20"/>
  </r>
  <r>
    <n v="3484"/>
    <s v="Patrícia Lima"/>
    <x v="1"/>
    <d v="2024-11-05T00:00:00"/>
    <x v="0"/>
    <n v="5"/>
    <x v="2"/>
    <x v="1"/>
    <x v="1"/>
    <x v="1"/>
    <n v="0"/>
    <n v="0"/>
    <n v="5"/>
  </r>
  <r>
    <n v="3485"/>
    <s v="Quirino Neto"/>
    <x v="0"/>
    <d v="2024-11-06T00:00:00"/>
    <x v="1"/>
    <n v="15"/>
    <x v="0"/>
    <x v="0"/>
    <x v="0"/>
    <x v="0"/>
    <n v="20"/>
    <n v="15"/>
    <n v="50"/>
  </r>
  <r>
    <n v="3486"/>
    <s v="Rafaela Souza"/>
    <x v="1"/>
    <d v="2024-11-07T00:00:00"/>
    <x v="0"/>
    <n v="5"/>
    <x v="0"/>
    <x v="1"/>
    <x v="1"/>
    <x v="1"/>
    <n v="0"/>
    <n v="0"/>
    <n v="5"/>
  </r>
  <r>
    <n v="3487"/>
    <s v="Sandro Almeida"/>
    <x v="0"/>
    <d v="2024-11-08T00:00:00"/>
    <x v="1"/>
    <n v="15"/>
    <x v="2"/>
    <x v="0"/>
    <x v="0"/>
    <x v="0"/>
    <n v="20"/>
    <n v="7"/>
    <n v="58"/>
  </r>
  <r>
    <n v="3488"/>
    <s v="Tânia Ribeiro"/>
    <x v="2"/>
    <d v="2024-11-09T00:00:00"/>
    <x v="0"/>
    <n v="10"/>
    <x v="1"/>
    <x v="1"/>
    <x v="1"/>
    <x v="0"/>
    <n v="20"/>
    <n v="10"/>
    <n v="20"/>
  </r>
  <r>
    <n v="3489"/>
    <s v="Ugo Dias"/>
    <x v="1"/>
    <d v="2024-11-10T00:00:00"/>
    <x v="1"/>
    <n v="5"/>
    <x v="2"/>
    <x v="1"/>
    <x v="1"/>
    <x v="1"/>
    <n v="0"/>
    <n v="1"/>
    <n v="4"/>
  </r>
  <r>
    <n v="3490"/>
    <s v="Valéria Lima"/>
    <x v="0"/>
    <d v="2024-11-11T00:00:00"/>
    <x v="0"/>
    <n v="15"/>
    <x v="0"/>
    <x v="0"/>
    <x v="0"/>
    <x v="0"/>
    <n v="20"/>
    <n v="15"/>
    <n v="50"/>
  </r>
  <r>
    <n v="3491"/>
    <s v="William Fernandes"/>
    <x v="2"/>
    <d v="2024-11-12T00:00:00"/>
    <x v="1"/>
    <n v="10"/>
    <x v="0"/>
    <x v="1"/>
    <x v="1"/>
    <x v="0"/>
    <n v="20"/>
    <n v="5"/>
    <n v="25"/>
  </r>
  <r>
    <n v="3492"/>
    <s v="Xuxa Mendes"/>
    <x v="1"/>
    <d v="2024-11-13T00:00:00"/>
    <x v="0"/>
    <n v="5"/>
    <x v="1"/>
    <x v="1"/>
    <x v="1"/>
    <x v="1"/>
    <n v="0"/>
    <n v="0"/>
    <n v="5"/>
  </r>
  <r>
    <n v="3493"/>
    <s v="Ygor Farias"/>
    <x v="0"/>
    <d v="2024-11-14T00:00:00"/>
    <x v="1"/>
    <n v="15"/>
    <x v="2"/>
    <x v="0"/>
    <x v="0"/>
    <x v="0"/>
    <n v="20"/>
    <n v="20"/>
    <n v="45"/>
  </r>
  <r>
    <n v="3494"/>
    <s v="Zilda Barros"/>
    <x v="2"/>
    <d v="2024-11-15T00:00:00"/>
    <x v="0"/>
    <n v="10"/>
    <x v="2"/>
    <x v="1"/>
    <x v="1"/>
    <x v="0"/>
    <n v="20"/>
    <n v="12"/>
    <n v="18"/>
  </r>
  <r>
    <n v="3495"/>
    <s v="Amanda Santos"/>
    <x v="1"/>
    <d v="2024-11-16T00:00:00"/>
    <x v="1"/>
    <n v="5"/>
    <x v="0"/>
    <x v="1"/>
    <x v="1"/>
    <x v="1"/>
    <n v="0"/>
    <n v="2"/>
    <n v="3"/>
  </r>
  <r>
    <n v="3496"/>
    <s v="Bruno Costa"/>
    <x v="0"/>
    <d v="2024-11-17T00:00:00"/>
    <x v="0"/>
    <n v="15"/>
    <x v="1"/>
    <x v="0"/>
    <x v="0"/>
    <x v="0"/>
    <n v="20"/>
    <n v="5"/>
    <n v="60"/>
  </r>
  <r>
    <n v="3497"/>
    <s v="Carla Rodrigues"/>
    <x v="2"/>
    <d v="2024-11-18T00:00:00"/>
    <x v="1"/>
    <n v="10"/>
    <x v="0"/>
    <x v="1"/>
    <x v="1"/>
    <x v="0"/>
    <n v="20"/>
    <n v="10"/>
    <n v="20"/>
  </r>
  <r>
    <n v="3498"/>
    <s v="Diogo Pereira"/>
    <x v="1"/>
    <d v="2024-11-19T00:00:00"/>
    <x v="0"/>
    <n v="5"/>
    <x v="2"/>
    <x v="1"/>
    <x v="1"/>
    <x v="1"/>
    <n v="0"/>
    <n v="0"/>
    <n v="5"/>
  </r>
  <r>
    <n v="3499"/>
    <s v="Elisa Correia"/>
    <x v="0"/>
    <d v="2024-11-20T00:00:00"/>
    <x v="1"/>
    <n v="15"/>
    <x v="0"/>
    <x v="0"/>
    <x v="0"/>
    <x v="0"/>
    <n v="20"/>
    <n v="3"/>
    <n v="62"/>
  </r>
  <r>
    <n v="3500"/>
    <s v="Fábio Lourenço"/>
    <x v="2"/>
    <d v="2024-11-21T00:00:00"/>
    <x v="0"/>
    <n v="10"/>
    <x v="1"/>
    <x v="1"/>
    <x v="1"/>
    <x v="0"/>
    <n v="20"/>
    <n v="15"/>
    <n v="15"/>
  </r>
  <r>
    <n v="3501"/>
    <s v="Gabriela Neves"/>
    <x v="1"/>
    <d v="2024-11-22T00:00:00"/>
    <x v="1"/>
    <n v="5"/>
    <x v="0"/>
    <x v="1"/>
    <x v="1"/>
    <x v="1"/>
    <n v="0"/>
    <n v="1"/>
    <n v="4"/>
  </r>
  <r>
    <n v="3502"/>
    <s v="Henrique Gonçalves"/>
    <x v="0"/>
    <d v="2024-11-23T00:00:00"/>
    <x v="0"/>
    <n v="15"/>
    <x v="2"/>
    <x v="0"/>
    <x v="0"/>
    <x v="0"/>
    <n v="20"/>
    <n v="7"/>
    <n v="58"/>
  </r>
  <r>
    <n v="3503"/>
    <s v="Íris Santos"/>
    <x v="2"/>
    <d v="2024-11-24T00:00:00"/>
    <x v="1"/>
    <n v="10"/>
    <x v="0"/>
    <x v="1"/>
    <x v="1"/>
    <x v="0"/>
    <n v="20"/>
    <n v="10"/>
    <n v="20"/>
  </r>
  <r>
    <n v="3504"/>
    <s v="João Marcelo Alves"/>
    <x v="1"/>
    <d v="2024-11-25T00:00:00"/>
    <x v="0"/>
    <n v="5"/>
    <x v="1"/>
    <x v="1"/>
    <x v="1"/>
    <x v="1"/>
    <n v="0"/>
    <n v="0"/>
    <n v="5"/>
  </r>
  <r>
    <n v="3505"/>
    <s v="Klara Fonseca"/>
    <x v="0"/>
    <d v="2024-11-26T00:00:00"/>
    <x v="1"/>
    <n v="15"/>
    <x v="0"/>
    <x v="0"/>
    <x v="0"/>
    <x v="0"/>
    <n v="20"/>
    <n v="20"/>
    <n v="45"/>
  </r>
  <r>
    <n v="3506"/>
    <s v="Lucas Mendonça"/>
    <x v="2"/>
    <d v="2024-11-27T00:00:00"/>
    <x v="0"/>
    <n v="10"/>
    <x v="2"/>
    <x v="1"/>
    <x v="1"/>
    <x v="0"/>
    <n v="20"/>
    <n v="15"/>
    <n v="15"/>
  </r>
  <r>
    <n v="3507"/>
    <s v="Marcela Torres"/>
    <x v="1"/>
    <d v="2024-11-28T00:00:00"/>
    <x v="1"/>
    <n v="5"/>
    <x v="0"/>
    <x v="1"/>
    <x v="1"/>
    <x v="1"/>
    <n v="0"/>
    <n v="1"/>
    <n v="4"/>
  </r>
  <r>
    <n v="3508"/>
    <s v="Natália Castro"/>
    <x v="0"/>
    <d v="2024-11-29T00:00:00"/>
    <x v="0"/>
    <n v="15"/>
    <x v="1"/>
    <x v="0"/>
    <x v="0"/>
    <x v="0"/>
    <n v="20"/>
    <n v="3"/>
    <n v="62"/>
  </r>
  <r>
    <n v="3509"/>
    <s v="Oscar Martins"/>
    <x v="2"/>
    <d v="2024-11-30T00:00:00"/>
    <x v="1"/>
    <n v="10"/>
    <x v="0"/>
    <x v="1"/>
    <x v="1"/>
    <x v="0"/>
    <n v="20"/>
    <n v="10"/>
    <n v="20"/>
  </r>
  <r>
    <n v="3510"/>
    <s v="Patrícia Oliveira"/>
    <x v="1"/>
    <d v="2024-12-01T00:00:00"/>
    <x v="0"/>
    <n v="5"/>
    <x v="2"/>
    <x v="1"/>
    <x v="1"/>
    <x v="1"/>
    <n v="0"/>
    <n v="0"/>
    <n v="5"/>
  </r>
  <r>
    <n v="3511"/>
    <s v="Quentin Nogueira"/>
    <x v="0"/>
    <d v="2024-12-02T00:00:00"/>
    <x v="1"/>
    <n v="15"/>
    <x v="0"/>
    <x v="0"/>
    <x v="0"/>
    <x v="0"/>
    <n v="20"/>
    <n v="15"/>
    <n v="50"/>
  </r>
  <r>
    <n v="3512"/>
    <s v="Raquel Silva"/>
    <x v="2"/>
    <d v="2024-12-03T00:00:00"/>
    <x v="0"/>
    <n v="10"/>
    <x v="1"/>
    <x v="1"/>
    <x v="1"/>
    <x v="0"/>
    <n v="20"/>
    <n v="15"/>
    <n v="15"/>
  </r>
  <r>
    <n v="3513"/>
    <s v="Sandro Gomes"/>
    <x v="1"/>
    <d v="2024-12-04T00:00:00"/>
    <x v="1"/>
    <n v="5"/>
    <x v="0"/>
    <x v="1"/>
    <x v="1"/>
    <x v="1"/>
    <n v="0"/>
    <n v="1"/>
    <n v="4"/>
  </r>
  <r>
    <n v="3514"/>
    <s v="Tânia Machado"/>
    <x v="0"/>
    <d v="2024-12-05T00:00:00"/>
    <x v="0"/>
    <n v="15"/>
    <x v="2"/>
    <x v="0"/>
    <x v="0"/>
    <x v="0"/>
    <n v="20"/>
    <n v="7"/>
    <n v="58"/>
  </r>
  <r>
    <n v="3515"/>
    <s v="Ursula Silva"/>
    <x v="2"/>
    <d v="2024-12-06T00:00:00"/>
    <x v="1"/>
    <n v="10"/>
    <x v="0"/>
    <x v="1"/>
    <x v="1"/>
    <x v="0"/>
    <n v="20"/>
    <n v="10"/>
    <n v="20"/>
  </r>
  <r>
    <n v="3516"/>
    <s v="Vanessa Moraes"/>
    <x v="1"/>
    <d v="2024-12-07T00:00:00"/>
    <x v="0"/>
    <n v="5"/>
    <x v="1"/>
    <x v="1"/>
    <x v="1"/>
    <x v="1"/>
    <n v="0"/>
    <n v="0"/>
    <n v="5"/>
  </r>
  <r>
    <n v="3517"/>
    <s v="William Carvalho"/>
    <x v="0"/>
    <d v="2024-12-08T00:00:00"/>
    <x v="1"/>
    <n v="15"/>
    <x v="0"/>
    <x v="0"/>
    <x v="0"/>
    <x v="0"/>
    <n v="20"/>
    <n v="20"/>
    <n v="45"/>
  </r>
  <r>
    <n v="3518"/>
    <s v="Xavier Reis"/>
    <x v="2"/>
    <d v="2024-12-09T00:00:00"/>
    <x v="0"/>
    <n v="10"/>
    <x v="2"/>
    <x v="1"/>
    <x v="1"/>
    <x v="0"/>
    <n v="20"/>
    <n v="12"/>
    <n v="18"/>
  </r>
  <r>
    <n v="3519"/>
    <s v="Yasmin Rocha"/>
    <x v="1"/>
    <d v="2024-12-10T00:00:00"/>
    <x v="1"/>
    <n v="5"/>
    <x v="0"/>
    <x v="1"/>
    <x v="1"/>
    <x v="1"/>
    <n v="0"/>
    <n v="2"/>
    <n v="3"/>
  </r>
  <r>
    <n v="3520"/>
    <s v="Zacarias Duarte"/>
    <x v="0"/>
    <d v="2024-12-11T00:00:00"/>
    <x v="0"/>
    <n v="15"/>
    <x v="1"/>
    <x v="0"/>
    <x v="0"/>
    <x v="0"/>
    <n v="20"/>
    <n v="5"/>
    <n v="60"/>
  </r>
  <r>
    <n v="3521"/>
    <s v="Amanda Freitas"/>
    <x v="2"/>
    <d v="2024-12-12T00:00:00"/>
    <x v="1"/>
    <n v="10"/>
    <x v="0"/>
    <x v="1"/>
    <x v="1"/>
    <x v="0"/>
    <n v="20"/>
    <n v="10"/>
    <n v="20"/>
  </r>
  <r>
    <n v="3522"/>
    <s v="Bruno Almeida"/>
    <x v="1"/>
    <d v="2024-12-13T00:00:00"/>
    <x v="0"/>
    <n v="5"/>
    <x v="2"/>
    <x v="1"/>
    <x v="1"/>
    <x v="1"/>
    <n v="0"/>
    <n v="0"/>
    <n v="5"/>
  </r>
  <r>
    <n v="3523"/>
    <s v="Carla Siqueira"/>
    <x v="0"/>
    <d v="2024-12-14T00:00:00"/>
    <x v="1"/>
    <n v="15"/>
    <x v="0"/>
    <x v="0"/>
    <x v="0"/>
    <x v="0"/>
    <n v="20"/>
    <n v="3"/>
    <n v="62"/>
  </r>
  <r>
    <n v="3524"/>
    <s v="Diogo Ramos"/>
    <x v="2"/>
    <d v="2024-12-15T00:00:00"/>
    <x v="0"/>
    <n v="10"/>
    <x v="1"/>
    <x v="1"/>
    <x v="1"/>
    <x v="0"/>
    <n v="20"/>
    <n v="15"/>
    <n v="15"/>
  </r>
  <r>
    <n v="3525"/>
    <s v="Elisa Magalhães"/>
    <x v="1"/>
    <d v="2024-12-16T00:00:00"/>
    <x v="1"/>
    <n v="5"/>
    <x v="0"/>
    <x v="1"/>
    <x v="1"/>
    <x v="1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1EAAB-70EB-47BE-A36D-BA894DF55823}" name="Tabela dinâmica4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0" rowHeaderCaption="Tipo de Plano" colHeaderCaption="Sim / Não">
  <location ref="B25:E28" firstHeaderRow="1" firstDataRow="2" firstDataCol="1"/>
  <pivotFields count="13">
    <pivotField showAll="0"/>
    <pivotField showAll="0"/>
    <pivotField showAll="0"/>
    <pivotField numFmtId="14" showAll="0"/>
    <pivotField axis="axisCol" showAll="0">
      <items count="3">
        <item x="1"/>
        <item x="0"/>
        <item t="default"/>
      </items>
    </pivotField>
    <pivotField numFmtId="44" showAll="0"/>
    <pivotField axis="axisRow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2">
    <i>
      <x v="2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Auto Renovável?" fld="12" baseField="0" baseItem="0" numFmtId="44"/>
  </dataFields>
  <formats count="40">
    <format dxfId="131">
      <pivotArea dataOnly="0" labelOnly="1" outline="0" axis="axisValues" fieldPosition="0"/>
    </format>
    <format dxfId="130">
      <pivotArea dataOnly="0" labelOnly="1" outline="0" axis="axisValues" fieldPosition="0"/>
    </format>
    <format dxfId="129">
      <pivotArea type="origin" dataOnly="0" labelOnly="1" outline="0" fieldPosition="0"/>
    </format>
    <format dxfId="128">
      <pivotArea field="6" type="button" dataOnly="0" labelOnly="1" outline="0" axis="axisRow" fieldPosition="0"/>
    </format>
    <format dxfId="127">
      <pivotArea dataOnly="0" labelOnly="1" fieldPosition="0">
        <references count="1">
          <reference field="4" count="0"/>
        </references>
      </pivotArea>
    </format>
    <format dxfId="126">
      <pivotArea dataOnly="0" labelOnly="1" grandCol="1" outline="0" fieldPosition="0"/>
    </format>
    <format dxfId="125">
      <pivotArea type="origin" dataOnly="0" labelOnly="1" outline="0" fieldPosition="0"/>
    </format>
    <format dxfId="124">
      <pivotArea field="4" type="button" dataOnly="0" labelOnly="1" outline="0" axis="axisCol" fieldPosition="0"/>
    </format>
    <format dxfId="123">
      <pivotArea type="topRight" dataOnly="0" labelOnly="1" outline="0" fieldPosition="0"/>
    </format>
    <format dxfId="122">
      <pivotArea field="6" type="button" dataOnly="0" labelOnly="1" outline="0" axis="axisRow" fieldPosition="0"/>
    </format>
    <format dxfId="121">
      <pivotArea dataOnly="0" labelOnly="1" fieldPosition="0">
        <references count="1">
          <reference field="4" count="0"/>
        </references>
      </pivotArea>
    </format>
    <format dxfId="120">
      <pivotArea dataOnly="0" labelOnly="1" grandCol="1" outline="0" fieldPosition="0"/>
    </format>
    <format dxfId="119">
      <pivotArea outline="0" collapsedLevelsAreSubtotals="1" fieldPosition="0"/>
    </format>
    <format dxfId="118">
      <pivotArea dataOnly="0" labelOnly="1" fieldPosition="0">
        <references count="1">
          <reference field="6" count="0"/>
        </references>
      </pivotArea>
    </format>
    <format dxfId="117">
      <pivotArea dataOnly="0" labelOnly="1" grandRow="1" outline="0" fieldPosition="0"/>
    </format>
    <format dxfId="116">
      <pivotArea field="4" type="button" dataOnly="0" labelOnly="1" outline="0" axis="axisCol" fieldPosition="0"/>
    </format>
    <format dxfId="115">
      <pivotArea type="topRight" dataOnly="0" labelOnly="1" outline="0" fieldPosition="0"/>
    </format>
    <format dxfId="114">
      <pivotArea type="all" dataOnly="0" outline="0" fieldPosition="0"/>
    </format>
    <format dxfId="113">
      <pivotArea outline="0" collapsedLevelsAreSubtotals="1" fieldPosition="0"/>
    </format>
    <format dxfId="112">
      <pivotArea dataOnly="0" labelOnly="1" fieldPosition="0">
        <references count="1">
          <reference field="6" count="0"/>
        </references>
      </pivotArea>
    </format>
    <format dxfId="111">
      <pivotArea dataOnly="0" labelOnly="1" grandRow="1" outline="0" fieldPosition="0"/>
    </format>
    <format dxfId="110">
      <pivotArea dataOnly="0" labelOnly="1" grandRow="1" outline="0" fieldPosition="0"/>
    </format>
    <format dxfId="109">
      <pivotArea grandRow="1" outline="0" collapsedLevelsAreSubtotals="1" fieldPosition="0"/>
    </format>
    <format dxfId="108">
      <pivotArea dataOnly="0" labelOnly="1" grandRow="1" outline="0" fieldPosition="0"/>
    </format>
    <format dxfId="107">
      <pivotArea type="origin" dataOnly="0" labelOnly="1" outline="0" fieldPosition="0"/>
    </format>
    <format dxfId="106">
      <pivotArea field="4" type="button" dataOnly="0" labelOnly="1" outline="0" axis="axisCol" fieldPosition="0"/>
    </format>
    <format dxfId="105">
      <pivotArea type="topRight" dataOnly="0" labelOnly="1" outline="0" fieldPosition="0"/>
    </format>
    <format dxfId="104">
      <pivotArea field="6" type="button" dataOnly="0" labelOnly="1" outline="0" axis="axisRow" fieldPosition="0"/>
    </format>
    <format dxfId="103">
      <pivotArea dataOnly="0" labelOnly="1" fieldPosition="0">
        <references count="1">
          <reference field="4" count="0"/>
        </references>
      </pivotArea>
    </format>
    <format dxfId="102">
      <pivotArea dataOnly="0" labelOnly="1" grandCol="1" outline="0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type="origin" dataOnly="0" labelOnly="1" outline="0" fieldPosition="0"/>
    </format>
    <format dxfId="98">
      <pivotArea field="4" type="button" dataOnly="0" labelOnly="1" outline="0" axis="axisCol" fieldPosition="0"/>
    </format>
    <format dxfId="97">
      <pivotArea type="topRight" dataOnly="0" labelOnly="1" outline="0" fieldPosition="0"/>
    </format>
    <format dxfId="96">
      <pivotArea field="6" type="button" dataOnly="0" labelOnly="1" outline="0" axis="axisRow" fieldPosition="0"/>
    </format>
    <format dxfId="95">
      <pivotArea dataOnly="0" labelOnly="1" fieldPosition="0">
        <references count="1">
          <reference field="6" count="0"/>
        </references>
      </pivotArea>
    </format>
    <format dxfId="94">
      <pivotArea dataOnly="0" labelOnly="1" grandRow="1" outline="0" fieldPosition="0"/>
    </format>
    <format dxfId="93">
      <pivotArea dataOnly="0" labelOnly="1" fieldPosition="0">
        <references count="1">
          <reference field="4" count="0"/>
        </references>
      </pivotArea>
    </format>
    <format dxfId="92">
      <pivotArea dataOnly="0" labelOnly="1" grandCol="1" outline="0" fieldPosition="0"/>
    </format>
  </format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6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6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07B837-4F34-4839-80C5-FB49BAB857A5}" name="tbl_Vendas_PlanAnu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po de Plano">
  <location ref="B13:C15" firstHeaderRow="1" firstDataRow="1" firstDataCol="1"/>
  <pivotFields count="13">
    <pivotField showAll="0"/>
    <pivotField showAll="0"/>
    <pivotField showAll="0"/>
    <pivotField numFmtId="14" showAll="0"/>
    <pivotField showAll="0"/>
    <pivotField numFmtId="44" showAll="0"/>
    <pivotField axis="axisRow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2">
    <i>
      <x/>
    </i>
    <i t="grand">
      <x/>
    </i>
  </rowItems>
  <colItems count="1">
    <i/>
  </colItems>
  <dataFields count="1">
    <dataField name="Total de Vendas" fld="12" baseField="6" baseItem="0" numFmtId="44"/>
  </dataFields>
  <formats count="15">
    <format dxfId="146">
      <pivotArea outline="0" collapsedLevelsAreSubtotals="1" fieldPosition="0"/>
    </format>
    <format dxfId="145">
      <pivotArea dataOnly="0" labelOnly="1" fieldPosition="0">
        <references count="1">
          <reference field="6" count="0"/>
        </references>
      </pivotArea>
    </format>
    <format dxfId="144">
      <pivotArea dataOnly="0" labelOnly="1" grandRow="1" outline="0" fieldPosition="0"/>
    </format>
    <format dxfId="143">
      <pivotArea type="all" dataOnly="0" outline="0" fieldPosition="0"/>
    </format>
    <format dxfId="142">
      <pivotArea outline="0" collapsedLevelsAreSubtotals="1" fieldPosition="0"/>
    </format>
    <format dxfId="141">
      <pivotArea dataOnly="0" labelOnly="1" fieldPosition="0">
        <references count="1">
          <reference field="6" count="0"/>
        </references>
      </pivotArea>
    </format>
    <format dxfId="140">
      <pivotArea dataOnly="0" labelOnly="1" grandRow="1" outline="0" fieldPosition="0"/>
    </format>
    <format dxfId="139">
      <pivotArea dataOnly="0" labelOnly="1" grandRow="1" outline="0" fieldPosition="0"/>
    </format>
    <format dxfId="138">
      <pivotArea field="6" type="button" dataOnly="0" labelOnly="1" outline="0" axis="axisRow" fieldPosition="0"/>
    </format>
    <format dxfId="137">
      <pivotArea dataOnly="0" labelOnly="1" outline="0" axis="axisValues" fieldPosition="0"/>
    </format>
    <format dxfId="136">
      <pivotArea grandRow="1" outline="0" collapsedLevelsAreSubtotals="1" fieldPosition="0"/>
    </format>
    <format dxfId="135">
      <pivotArea dataOnly="0" labelOnly="1" grandRow="1" outline="0" fieldPosition="0"/>
    </format>
    <format dxfId="134">
      <pivotArea outline="0" collapsedLevelsAreSubtotals="1" fieldPosition="0"/>
    </format>
    <format dxfId="133">
      <pivotArea dataOnly="0" labelOnly="1" fieldPosition="0">
        <references count="1">
          <reference field="6" count="0"/>
        </references>
      </pivotArea>
    </format>
    <format dxfId="13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9D754-B040-4A9A-89D9-6744BFF4C287}" name="Tabela dinâmica6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po de Plano">
  <location ref="B43:C47" firstHeaderRow="1" firstDataRow="1" firstDataCol="1"/>
  <pivotFields count="13">
    <pivotField showAll="0"/>
    <pivotField showAll="0"/>
    <pivotField showAll="0"/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dataField="1" numFmtId="44" showAll="0"/>
    <pivotField numFmtId="44" showAll="0"/>
    <pivotField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Assinaturas Minecraft" fld="10" baseField="6" baseItem="0" numFmtId="44"/>
  </dataFields>
  <formats count="4">
    <format dxfId="150">
      <pivotArea field="6" type="button" dataOnly="0" labelOnly="1" outline="0" axis="axisRow" fieldPosition="0"/>
    </format>
    <format dxfId="149">
      <pivotArea dataOnly="0" labelOnly="1" outline="0" axis="axisValues" fieldPosition="0"/>
    </format>
    <format dxfId="148">
      <pivotArea grandRow="1" outline="0" collapsedLevelsAreSubtotals="1" fieldPosition="0"/>
    </format>
    <format dxfId="14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9F823F-141C-48DA-B843-1DB359023744}" name="tbl_Ass_EA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Tipo de Plano">
  <location ref="B35:C37" firstHeaderRow="1" firstDataRow="1" firstDataCol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Row" showAll="0">
      <items count="4">
        <item h="1" x="1"/>
        <item h="1" x="0"/>
        <item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h="1"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6"/>
  </rowFields>
  <rowItems count="2">
    <i>
      <x v="2"/>
    </i>
    <i t="grand">
      <x/>
    </i>
  </rowItems>
  <colItems count="1">
    <i/>
  </colItems>
  <dataFields count="1">
    <dataField name="Soma de Assinaturas EA Play" fld="8" baseField="6" baseItem="0"/>
  </dataFields>
  <formats count="6">
    <format dxfId="156">
      <pivotArea grandRow="1" outline="0" collapsedLevelsAreSubtotals="1" fieldPosition="0"/>
    </format>
    <format dxfId="155">
      <pivotArea dataOnly="0" labelOnly="1" outline="0" axis="axisValues" fieldPosition="0"/>
    </format>
    <format dxfId="154">
      <pivotArea field="6" type="button" dataOnly="0" labelOnly="1" outline="0" axis="axisRow" fieldPosition="0"/>
    </format>
    <format dxfId="153">
      <pivotArea dataOnly="0" labelOnly="1" grandRow="1" outline="0" fieldPosition="0"/>
    </format>
    <format dxfId="152">
      <pivotArea grandRow="1" outline="0" collapsedLevelsAreSubtotals="1" fieldPosition="0"/>
    </format>
    <format dxfId="151">
      <pivotArea collapsedLevelsAreSubtotals="1" fieldPosition="0">
        <references count="1">
          <reference field="6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45BEE1AE-DF14-447A-B2AB-859C085566FB}" sourceName="Subscription Type">
  <pivotTables>
    <pivotTable tabId="3" name="Tabela dinâmica4"/>
    <pivotTable tabId="3" name="tbl_Ass_EA"/>
  </pivotTables>
  <data>
    <tabular pivotCacheId="413173371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tre o Plano" xr10:uid="{50711CE8-CCA7-4D58-89AB-F419D92E534E}" cache="SegmentaçãodeDados_Subscription_Type" caption="Selecione o Plano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ltre o Plano 1" xr10:uid="{97A55EB4-37F7-497E-BEC5-502CD185A3C7}" cache="SegmentaçãodeDados_Subscription_Type" caption="Selecione o Plano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l_bases" displayName="tbl_bases" ref="A1:M296" totalsRowShown="0" dataDxfId="170">
  <autoFilter ref="A1:M296" xr:uid="{34E0E886-4200-4B36-97B3-63DB74FF40A0}"/>
  <tableColumns count="13">
    <tableColumn id="1" xr3:uid="{C4A90516-688A-46BF-9167-EA16C2A8A652}" name="Subscriber ID" dataDxfId="169"/>
    <tableColumn id="2" xr3:uid="{53DD39D0-2220-4121-9E9D-4EAA7E151C0F}" name="Name" dataDxfId="168"/>
    <tableColumn id="3" xr3:uid="{4F5FF271-4C57-4BE0-8F2C-F82C8551625C}" name="Plan" dataDxfId="167"/>
    <tableColumn id="4" xr3:uid="{8C17EB93-79B9-4E55-B8F7-BEB82F8253E9}" name="Start Date" dataDxfId="166"/>
    <tableColumn id="5" xr3:uid="{48CEDF9B-1689-482A-A828-5CCE7713264A}" name="Auto Renewal" dataDxfId="165"/>
    <tableColumn id="6" xr3:uid="{78B82374-9AA7-4E38-AE4F-78CDE6C83720}" name="Subscription Price" dataDxfId="164" dataCellStyle="Moeda"/>
    <tableColumn id="7" xr3:uid="{F2433F68-AF33-49D0-B1FB-19A396074EDE}" name="Subscription Type" dataDxfId="163"/>
    <tableColumn id="8" xr3:uid="{FD4D9C95-F6E5-4933-9068-A71FF7DF9343}" name="EA Play Season Pass" dataDxfId="162"/>
    <tableColumn id="13" xr3:uid="{978DD0D2-834E-4CE4-A39B-30976086932F}" name="EA Play Season Pass_x000a_Price" dataDxfId="161" dataCellStyle="Moeda"/>
    <tableColumn id="9" xr3:uid="{6E29F111-C395-4580-9DAD-3407D9E8B1A4}" name="Minecraft Season Pass" dataDxfId="160"/>
    <tableColumn id="10" xr3:uid="{EF544EAA-7F25-4FD5-A10E-8E62804DB9E3}" name="Minecraft Season Pass Price" dataDxfId="159" dataCellStyle="Moeda"/>
    <tableColumn id="11" xr3:uid="{7F6EB64A-1F07-4E48-9F0F-AC7D9DCD26F8}" name="Coupon Value" dataDxfId="158" dataCellStyle="Moeda"/>
    <tableColumn id="12" xr3:uid="{2B04ABC8-DE6F-426E-ADC0-D8AFC68CA58E}" name="Total Value" dataDxfId="157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3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J12"/>
  <sheetViews>
    <sheetView showGridLines="0" zoomScaleNormal="100" workbookViewId="0">
      <selection activeCell="G31" sqref="G31"/>
    </sheetView>
  </sheetViews>
  <sheetFormatPr defaultRowHeight="14.4" x14ac:dyDescent="0.3"/>
  <cols>
    <col min="9" max="9" width="3.5546875" customWidth="1"/>
  </cols>
  <sheetData>
    <row r="3" spans="2:10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0" ht="15" thickTop="1" x14ac:dyDescent="0.3"/>
    <row r="5" spans="2:10" x14ac:dyDescent="0.3">
      <c r="B5" s="2" t="s">
        <v>2</v>
      </c>
      <c r="C5" t="s">
        <v>8</v>
      </c>
      <c r="E5" s="6" t="s">
        <v>6</v>
      </c>
      <c r="F5" t="s">
        <v>7</v>
      </c>
    </row>
    <row r="6" spans="2:10" x14ac:dyDescent="0.3">
      <c r="B6" s="3" t="s">
        <v>3</v>
      </c>
      <c r="C6" t="s">
        <v>8</v>
      </c>
    </row>
    <row r="7" spans="2:10" x14ac:dyDescent="0.3">
      <c r="B7" s="4" t="s">
        <v>4</v>
      </c>
      <c r="C7" t="s">
        <v>9</v>
      </c>
    </row>
    <row r="8" spans="2:10" x14ac:dyDescent="0.3">
      <c r="B8" s="5" t="s">
        <v>5</v>
      </c>
      <c r="C8" t="s">
        <v>9</v>
      </c>
    </row>
    <row r="12" spans="2:10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H21" sqref="H21"/>
    </sheetView>
  </sheetViews>
  <sheetFormatPr defaultRowHeight="14.4" x14ac:dyDescent="0.3"/>
  <cols>
    <col min="1" max="1" width="17.88671875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23.33203125" customWidth="1"/>
    <col min="7" max="7" width="27.6640625" customWidth="1"/>
    <col min="8" max="8" width="27.33203125" customWidth="1"/>
    <col min="9" max="9" width="27.109375" customWidth="1"/>
    <col min="10" max="10" width="27.5546875" customWidth="1"/>
    <col min="11" max="11" width="24.5546875" customWidth="1"/>
    <col min="12" max="12" width="20.88671875" customWidth="1"/>
    <col min="13" max="13" width="13.6640625" customWidth="1"/>
  </cols>
  <sheetData>
    <row r="1" spans="1:13" ht="28.8" x14ac:dyDescent="0.3">
      <c r="A1" s="8" t="s">
        <v>11</v>
      </c>
      <c r="B1" s="8" t="s">
        <v>12</v>
      </c>
      <c r="C1" s="8" t="s">
        <v>13</v>
      </c>
      <c r="D1" s="8" t="s">
        <v>14</v>
      </c>
      <c r="E1" s="8" t="s">
        <v>15</v>
      </c>
      <c r="F1" s="8" t="s">
        <v>311</v>
      </c>
      <c r="G1" s="8" t="s">
        <v>16</v>
      </c>
      <c r="H1" s="8" t="s">
        <v>308</v>
      </c>
      <c r="I1" s="8" t="s">
        <v>309</v>
      </c>
      <c r="J1" s="8" t="s">
        <v>30</v>
      </c>
      <c r="K1" s="8" t="s">
        <v>31</v>
      </c>
      <c r="L1" s="8" t="s">
        <v>32</v>
      </c>
      <c r="M1" s="8" t="s">
        <v>33</v>
      </c>
    </row>
    <row r="2" spans="1:13" ht="16.5" customHeight="1" x14ac:dyDescent="0.3">
      <c r="A2" s="7">
        <v>3231</v>
      </c>
      <c r="B2" s="7" t="s">
        <v>17</v>
      </c>
      <c r="C2" s="7" t="s">
        <v>18</v>
      </c>
      <c r="D2" s="9">
        <v>45292</v>
      </c>
      <c r="E2" s="7" t="s">
        <v>19</v>
      </c>
      <c r="F2" s="10">
        <v>15</v>
      </c>
      <c r="G2" s="7" t="s">
        <v>20</v>
      </c>
      <c r="H2" s="7" t="s">
        <v>19</v>
      </c>
      <c r="I2" s="10">
        <v>30</v>
      </c>
      <c r="J2" s="7" t="s">
        <v>19</v>
      </c>
      <c r="K2" s="10">
        <v>20</v>
      </c>
      <c r="L2" s="10">
        <v>5</v>
      </c>
      <c r="M2" s="10">
        <v>60</v>
      </c>
    </row>
    <row r="3" spans="1:13" ht="16.5" customHeight="1" x14ac:dyDescent="0.3">
      <c r="A3" s="7">
        <v>3232</v>
      </c>
      <c r="B3" s="7" t="s">
        <v>21</v>
      </c>
      <c r="C3" s="7" t="s">
        <v>22</v>
      </c>
      <c r="D3" s="9">
        <v>45306</v>
      </c>
      <c r="E3" s="7" t="s">
        <v>23</v>
      </c>
      <c r="F3" s="10">
        <v>5</v>
      </c>
      <c r="G3" s="7" t="s">
        <v>24</v>
      </c>
      <c r="H3" s="7" t="s">
        <v>23</v>
      </c>
      <c r="I3" s="10" t="s">
        <v>310</v>
      </c>
      <c r="J3" s="7" t="s">
        <v>23</v>
      </c>
      <c r="K3" s="10">
        <v>0</v>
      </c>
      <c r="L3" s="10">
        <v>0</v>
      </c>
      <c r="M3" s="10">
        <v>5</v>
      </c>
    </row>
    <row r="4" spans="1:13" ht="16.5" customHeight="1" x14ac:dyDescent="0.3">
      <c r="A4" s="7">
        <v>3233</v>
      </c>
      <c r="B4" s="7" t="s">
        <v>25</v>
      </c>
      <c r="C4" s="7" t="s">
        <v>26</v>
      </c>
      <c r="D4" s="9">
        <v>45332</v>
      </c>
      <c r="E4" s="7" t="s">
        <v>19</v>
      </c>
      <c r="F4" s="10">
        <v>10</v>
      </c>
      <c r="G4" s="7" t="s">
        <v>27</v>
      </c>
      <c r="H4" s="7" t="s">
        <v>23</v>
      </c>
      <c r="I4" s="10" t="s">
        <v>310</v>
      </c>
      <c r="J4" s="7" t="s">
        <v>19</v>
      </c>
      <c r="K4" s="10">
        <v>20</v>
      </c>
      <c r="L4" s="10">
        <v>10</v>
      </c>
      <c r="M4" s="10">
        <v>20</v>
      </c>
    </row>
    <row r="5" spans="1:13" ht="16.5" customHeight="1" x14ac:dyDescent="0.3">
      <c r="A5" s="7">
        <v>3234</v>
      </c>
      <c r="B5" s="7" t="s">
        <v>28</v>
      </c>
      <c r="C5" s="7" t="s">
        <v>18</v>
      </c>
      <c r="D5" s="9">
        <v>45342</v>
      </c>
      <c r="E5" s="7" t="s">
        <v>23</v>
      </c>
      <c r="F5" s="10">
        <v>15</v>
      </c>
      <c r="G5" s="7" t="s">
        <v>20</v>
      </c>
      <c r="H5" s="7" t="s">
        <v>19</v>
      </c>
      <c r="I5" s="10">
        <v>30</v>
      </c>
      <c r="J5" s="7" t="s">
        <v>19</v>
      </c>
      <c r="K5" s="10">
        <v>20</v>
      </c>
      <c r="L5" s="10">
        <v>3</v>
      </c>
      <c r="M5" s="10">
        <v>62</v>
      </c>
    </row>
    <row r="6" spans="1:13" ht="16.5" customHeight="1" x14ac:dyDescent="0.3">
      <c r="A6" s="7">
        <v>3235</v>
      </c>
      <c r="B6" s="7" t="s">
        <v>29</v>
      </c>
      <c r="C6" s="7" t="s">
        <v>22</v>
      </c>
      <c r="D6" s="9">
        <v>45356</v>
      </c>
      <c r="E6" s="7" t="s">
        <v>19</v>
      </c>
      <c r="F6" s="10">
        <v>5</v>
      </c>
      <c r="G6" s="7" t="s">
        <v>20</v>
      </c>
      <c r="H6" s="7" t="s">
        <v>23</v>
      </c>
      <c r="I6" s="10" t="s">
        <v>310</v>
      </c>
      <c r="J6" s="7" t="s">
        <v>23</v>
      </c>
      <c r="K6" s="10">
        <v>0</v>
      </c>
      <c r="L6" s="10">
        <v>1</v>
      </c>
      <c r="M6" s="10">
        <v>4</v>
      </c>
    </row>
    <row r="7" spans="1:13" ht="16.5" customHeight="1" x14ac:dyDescent="0.3">
      <c r="A7" s="7">
        <v>3236</v>
      </c>
      <c r="B7" s="7" t="s">
        <v>34</v>
      </c>
      <c r="C7" s="7" t="s">
        <v>26</v>
      </c>
      <c r="D7" s="9">
        <v>45353</v>
      </c>
      <c r="E7" s="7" t="s">
        <v>23</v>
      </c>
      <c r="F7" s="10">
        <v>10</v>
      </c>
      <c r="G7" s="7" t="s">
        <v>20</v>
      </c>
      <c r="H7" s="7" t="s">
        <v>23</v>
      </c>
      <c r="I7" s="10" t="s">
        <v>310</v>
      </c>
      <c r="J7" s="7" t="s">
        <v>19</v>
      </c>
      <c r="K7" s="10">
        <v>20</v>
      </c>
      <c r="L7" s="10">
        <v>2</v>
      </c>
      <c r="M7" s="10">
        <v>28</v>
      </c>
    </row>
    <row r="8" spans="1:13" ht="16.5" customHeight="1" x14ac:dyDescent="0.3">
      <c r="A8" s="7">
        <v>3237</v>
      </c>
      <c r="B8" s="7" t="s">
        <v>35</v>
      </c>
      <c r="C8" s="7" t="s">
        <v>18</v>
      </c>
      <c r="D8" s="9">
        <v>45354</v>
      </c>
      <c r="E8" s="7" t="s">
        <v>19</v>
      </c>
      <c r="F8" s="10">
        <v>15</v>
      </c>
      <c r="G8" s="7" t="s">
        <v>27</v>
      </c>
      <c r="H8" s="7" t="s">
        <v>19</v>
      </c>
      <c r="I8" s="10">
        <v>30</v>
      </c>
      <c r="J8" s="7" t="s">
        <v>19</v>
      </c>
      <c r="K8" s="10">
        <v>20</v>
      </c>
      <c r="L8" s="10">
        <v>10</v>
      </c>
      <c r="M8" s="10">
        <v>55</v>
      </c>
    </row>
    <row r="9" spans="1:13" ht="16.5" customHeight="1" x14ac:dyDescent="0.3">
      <c r="A9" s="7">
        <v>3238</v>
      </c>
      <c r="B9" s="7" t="s">
        <v>36</v>
      </c>
      <c r="C9" s="7" t="s">
        <v>22</v>
      </c>
      <c r="D9" s="9">
        <v>45355</v>
      </c>
      <c r="E9" s="7" t="s">
        <v>19</v>
      </c>
      <c r="F9" s="10">
        <v>5</v>
      </c>
      <c r="G9" s="7" t="s">
        <v>24</v>
      </c>
      <c r="H9" s="7" t="s">
        <v>23</v>
      </c>
      <c r="I9" s="10" t="s">
        <v>310</v>
      </c>
      <c r="J9" s="7" t="s">
        <v>23</v>
      </c>
      <c r="K9" s="10">
        <v>0</v>
      </c>
      <c r="L9" s="10">
        <v>0</v>
      </c>
      <c r="M9" s="10">
        <v>5</v>
      </c>
    </row>
    <row r="10" spans="1:13" ht="16.5" customHeight="1" x14ac:dyDescent="0.3">
      <c r="A10" s="7">
        <v>3239</v>
      </c>
      <c r="B10" s="7" t="s">
        <v>37</v>
      </c>
      <c r="C10" s="7" t="s">
        <v>18</v>
      </c>
      <c r="D10" s="9">
        <v>45356</v>
      </c>
      <c r="E10" s="7" t="s">
        <v>23</v>
      </c>
      <c r="F10" s="10">
        <v>15</v>
      </c>
      <c r="G10" s="7" t="s">
        <v>20</v>
      </c>
      <c r="H10" s="7" t="s">
        <v>19</v>
      </c>
      <c r="I10" s="10">
        <v>30</v>
      </c>
      <c r="J10" s="7" t="s">
        <v>19</v>
      </c>
      <c r="K10" s="10">
        <v>20</v>
      </c>
      <c r="L10" s="10">
        <v>5</v>
      </c>
      <c r="M10" s="10">
        <v>60</v>
      </c>
    </row>
    <row r="11" spans="1:13" ht="16.5" customHeight="1" x14ac:dyDescent="0.3">
      <c r="A11" s="7">
        <v>3240</v>
      </c>
      <c r="B11" s="7" t="s">
        <v>38</v>
      </c>
      <c r="C11" s="7" t="s">
        <v>26</v>
      </c>
      <c r="D11" s="9">
        <v>45357</v>
      </c>
      <c r="E11" s="7" t="s">
        <v>19</v>
      </c>
      <c r="F11" s="10">
        <v>10</v>
      </c>
      <c r="G11" s="7" t="s">
        <v>27</v>
      </c>
      <c r="H11" s="7" t="s">
        <v>23</v>
      </c>
      <c r="I11" s="10" t="s">
        <v>310</v>
      </c>
      <c r="J11" s="7" t="s">
        <v>19</v>
      </c>
      <c r="K11" s="10">
        <v>20</v>
      </c>
      <c r="L11" s="10">
        <v>15</v>
      </c>
      <c r="M11" s="10">
        <v>15</v>
      </c>
    </row>
    <row r="12" spans="1:13" ht="16.5" customHeight="1" x14ac:dyDescent="0.3">
      <c r="A12" s="7">
        <v>3241</v>
      </c>
      <c r="B12" s="7" t="s">
        <v>39</v>
      </c>
      <c r="C12" s="7" t="s">
        <v>22</v>
      </c>
      <c r="D12" s="9">
        <v>45358</v>
      </c>
      <c r="E12" s="7" t="s">
        <v>23</v>
      </c>
      <c r="F12" s="10">
        <v>5</v>
      </c>
      <c r="G12" s="7" t="s">
        <v>20</v>
      </c>
      <c r="H12" s="7" t="s">
        <v>23</v>
      </c>
      <c r="I12" s="10" t="s">
        <v>310</v>
      </c>
      <c r="J12" s="7" t="s">
        <v>23</v>
      </c>
      <c r="K12" s="10">
        <v>0</v>
      </c>
      <c r="L12" s="10">
        <v>1</v>
      </c>
      <c r="M12" s="10">
        <v>4</v>
      </c>
    </row>
    <row r="13" spans="1:13" ht="16.5" customHeight="1" x14ac:dyDescent="0.3">
      <c r="A13" s="7">
        <v>3242</v>
      </c>
      <c r="B13" s="7" t="s">
        <v>40</v>
      </c>
      <c r="C13" s="7" t="s">
        <v>18</v>
      </c>
      <c r="D13" s="9">
        <v>45359</v>
      </c>
      <c r="E13" s="7" t="s">
        <v>19</v>
      </c>
      <c r="F13" s="10">
        <v>15</v>
      </c>
      <c r="G13" s="7" t="s">
        <v>24</v>
      </c>
      <c r="H13" s="7" t="s">
        <v>19</v>
      </c>
      <c r="I13" s="10">
        <v>30</v>
      </c>
      <c r="J13" s="7" t="s">
        <v>19</v>
      </c>
      <c r="K13" s="10">
        <v>20</v>
      </c>
      <c r="L13" s="10">
        <v>20</v>
      </c>
      <c r="M13" s="10">
        <v>45</v>
      </c>
    </row>
    <row r="14" spans="1:13" ht="16.5" customHeight="1" x14ac:dyDescent="0.3">
      <c r="A14" s="7">
        <v>3243</v>
      </c>
      <c r="B14" s="7" t="s">
        <v>41</v>
      </c>
      <c r="C14" s="7" t="s">
        <v>26</v>
      </c>
      <c r="D14" s="9">
        <v>45360</v>
      </c>
      <c r="E14" s="7" t="s">
        <v>23</v>
      </c>
      <c r="F14" s="10">
        <v>10</v>
      </c>
      <c r="G14" s="7" t="s">
        <v>20</v>
      </c>
      <c r="H14" s="7" t="s">
        <v>23</v>
      </c>
      <c r="I14" s="10" t="s">
        <v>310</v>
      </c>
      <c r="J14" s="7" t="s">
        <v>19</v>
      </c>
      <c r="K14" s="10">
        <v>20</v>
      </c>
      <c r="L14" s="10">
        <v>10</v>
      </c>
      <c r="M14" s="10">
        <v>20</v>
      </c>
    </row>
    <row r="15" spans="1:13" ht="16.5" customHeight="1" x14ac:dyDescent="0.3">
      <c r="A15" s="7">
        <v>3244</v>
      </c>
      <c r="B15" s="7" t="s">
        <v>42</v>
      </c>
      <c r="C15" s="7" t="s">
        <v>22</v>
      </c>
      <c r="D15" s="9">
        <v>45361</v>
      </c>
      <c r="E15" s="7" t="s">
        <v>19</v>
      </c>
      <c r="F15" s="10">
        <v>5</v>
      </c>
      <c r="G15" s="7" t="s">
        <v>27</v>
      </c>
      <c r="H15" s="7" t="s">
        <v>23</v>
      </c>
      <c r="I15" s="10" t="s">
        <v>310</v>
      </c>
      <c r="J15" s="7" t="s">
        <v>23</v>
      </c>
      <c r="K15" s="10">
        <v>0</v>
      </c>
      <c r="L15" s="10">
        <v>0</v>
      </c>
      <c r="M15" s="10">
        <v>5</v>
      </c>
    </row>
    <row r="16" spans="1:13" ht="16.5" customHeight="1" x14ac:dyDescent="0.3">
      <c r="A16" s="7">
        <v>3245</v>
      </c>
      <c r="B16" s="7" t="s">
        <v>43</v>
      </c>
      <c r="C16" s="7" t="s">
        <v>18</v>
      </c>
      <c r="D16" s="9">
        <v>45362</v>
      </c>
      <c r="E16" s="7" t="s">
        <v>23</v>
      </c>
      <c r="F16" s="10">
        <v>15</v>
      </c>
      <c r="G16" s="7" t="s">
        <v>20</v>
      </c>
      <c r="H16" s="7" t="s">
        <v>19</v>
      </c>
      <c r="I16" s="10">
        <v>30</v>
      </c>
      <c r="J16" s="7" t="s">
        <v>19</v>
      </c>
      <c r="K16" s="10">
        <v>20</v>
      </c>
      <c r="L16" s="10">
        <v>8</v>
      </c>
      <c r="M16" s="10">
        <v>57</v>
      </c>
    </row>
    <row r="17" spans="1:13" ht="16.5" customHeight="1" x14ac:dyDescent="0.3">
      <c r="A17" s="7">
        <v>3246</v>
      </c>
      <c r="B17" s="7" t="s">
        <v>44</v>
      </c>
      <c r="C17" s="7" t="s">
        <v>26</v>
      </c>
      <c r="D17" s="9">
        <v>45363</v>
      </c>
      <c r="E17" s="7" t="s">
        <v>19</v>
      </c>
      <c r="F17" s="10">
        <v>10</v>
      </c>
      <c r="G17" s="7" t="s">
        <v>24</v>
      </c>
      <c r="H17" s="7" t="s">
        <v>23</v>
      </c>
      <c r="I17" s="10" t="s">
        <v>310</v>
      </c>
      <c r="J17" s="7" t="s">
        <v>19</v>
      </c>
      <c r="K17" s="10">
        <v>20</v>
      </c>
      <c r="L17" s="10">
        <v>12</v>
      </c>
      <c r="M17" s="10">
        <v>18</v>
      </c>
    </row>
    <row r="18" spans="1:13" ht="16.5" customHeight="1" x14ac:dyDescent="0.3">
      <c r="A18" s="7">
        <v>3247</v>
      </c>
      <c r="B18" s="7" t="s">
        <v>45</v>
      </c>
      <c r="C18" s="7" t="s">
        <v>22</v>
      </c>
      <c r="D18" s="9">
        <v>45364</v>
      </c>
      <c r="E18" s="7" t="s">
        <v>23</v>
      </c>
      <c r="F18" s="10">
        <v>5</v>
      </c>
      <c r="G18" s="7" t="s">
        <v>20</v>
      </c>
      <c r="H18" s="7" t="s">
        <v>23</v>
      </c>
      <c r="I18" s="10" t="s">
        <v>310</v>
      </c>
      <c r="J18" s="7" t="s">
        <v>23</v>
      </c>
      <c r="K18" s="10">
        <v>0</v>
      </c>
      <c r="L18" s="10">
        <v>2</v>
      </c>
      <c r="M18" s="10">
        <v>3</v>
      </c>
    </row>
    <row r="19" spans="1:13" ht="16.5" customHeight="1" x14ac:dyDescent="0.3">
      <c r="A19" s="7">
        <v>3248</v>
      </c>
      <c r="B19" s="7" t="s">
        <v>46</v>
      </c>
      <c r="C19" s="7" t="s">
        <v>18</v>
      </c>
      <c r="D19" s="9">
        <v>45365</v>
      </c>
      <c r="E19" s="7" t="s">
        <v>19</v>
      </c>
      <c r="F19" s="10">
        <v>15</v>
      </c>
      <c r="G19" s="7" t="s">
        <v>27</v>
      </c>
      <c r="H19" s="7" t="s">
        <v>19</v>
      </c>
      <c r="I19" s="10">
        <v>30</v>
      </c>
      <c r="J19" s="7" t="s">
        <v>19</v>
      </c>
      <c r="K19" s="10">
        <v>20</v>
      </c>
      <c r="L19" s="10">
        <v>7</v>
      </c>
      <c r="M19" s="10">
        <v>58</v>
      </c>
    </row>
    <row r="20" spans="1:13" ht="16.5" customHeight="1" x14ac:dyDescent="0.3">
      <c r="A20" s="7">
        <v>3249</v>
      </c>
      <c r="B20" s="7" t="s">
        <v>47</v>
      </c>
      <c r="C20" s="7" t="s">
        <v>26</v>
      </c>
      <c r="D20" s="9">
        <v>45366</v>
      </c>
      <c r="E20" s="7" t="s">
        <v>23</v>
      </c>
      <c r="F20" s="10">
        <v>10</v>
      </c>
      <c r="G20" s="7" t="s">
        <v>20</v>
      </c>
      <c r="H20" s="7" t="s">
        <v>23</v>
      </c>
      <c r="I20" s="10" t="s">
        <v>310</v>
      </c>
      <c r="J20" s="7" t="s">
        <v>19</v>
      </c>
      <c r="K20" s="10">
        <v>20</v>
      </c>
      <c r="L20" s="10">
        <v>5</v>
      </c>
      <c r="M20" s="10">
        <v>25</v>
      </c>
    </row>
    <row r="21" spans="1:13" ht="16.5" customHeight="1" x14ac:dyDescent="0.3">
      <c r="A21" s="7">
        <v>3250</v>
      </c>
      <c r="B21" s="7" t="s">
        <v>48</v>
      </c>
      <c r="C21" s="7" t="s">
        <v>22</v>
      </c>
      <c r="D21" s="9">
        <v>45367</v>
      </c>
      <c r="E21" s="7" t="s">
        <v>19</v>
      </c>
      <c r="F21" s="10">
        <v>5</v>
      </c>
      <c r="G21" s="7" t="s">
        <v>24</v>
      </c>
      <c r="H21" s="7" t="s">
        <v>23</v>
      </c>
      <c r="I21" s="10" t="s">
        <v>310</v>
      </c>
      <c r="J21" s="7" t="s">
        <v>23</v>
      </c>
      <c r="K21" s="10">
        <v>0</v>
      </c>
      <c r="L21" s="10">
        <v>0</v>
      </c>
      <c r="M21" s="10">
        <v>5</v>
      </c>
    </row>
    <row r="22" spans="1:13" ht="16.5" customHeight="1" x14ac:dyDescent="0.3">
      <c r="A22" s="7">
        <v>3251</v>
      </c>
      <c r="B22" s="7" t="s">
        <v>49</v>
      </c>
      <c r="C22" s="7" t="s">
        <v>18</v>
      </c>
      <c r="D22" s="9">
        <v>45368</v>
      </c>
      <c r="E22" s="7" t="s">
        <v>23</v>
      </c>
      <c r="F22" s="10">
        <v>15</v>
      </c>
      <c r="G22" s="7" t="s">
        <v>20</v>
      </c>
      <c r="H22" s="7" t="s">
        <v>19</v>
      </c>
      <c r="I22" s="10">
        <v>30</v>
      </c>
      <c r="J22" s="7" t="s">
        <v>19</v>
      </c>
      <c r="K22" s="10">
        <v>20</v>
      </c>
      <c r="L22" s="10">
        <v>3</v>
      </c>
      <c r="M22" s="10">
        <v>62</v>
      </c>
    </row>
    <row r="23" spans="1:13" ht="16.5" customHeight="1" x14ac:dyDescent="0.3">
      <c r="A23" s="7">
        <v>3252</v>
      </c>
      <c r="B23" s="7" t="s">
        <v>50</v>
      </c>
      <c r="C23" s="7" t="s">
        <v>26</v>
      </c>
      <c r="D23" s="9">
        <v>45369</v>
      </c>
      <c r="E23" s="7" t="s">
        <v>19</v>
      </c>
      <c r="F23" s="10">
        <v>10</v>
      </c>
      <c r="G23" s="7" t="s">
        <v>27</v>
      </c>
      <c r="H23" s="7" t="s">
        <v>23</v>
      </c>
      <c r="I23" s="10" t="s">
        <v>310</v>
      </c>
      <c r="J23" s="7" t="s">
        <v>19</v>
      </c>
      <c r="K23" s="10">
        <v>20</v>
      </c>
      <c r="L23" s="10">
        <v>15</v>
      </c>
      <c r="M23" s="10">
        <v>15</v>
      </c>
    </row>
    <row r="24" spans="1:13" ht="16.5" customHeight="1" x14ac:dyDescent="0.3">
      <c r="A24" s="7">
        <v>3253</v>
      </c>
      <c r="B24" s="7" t="s">
        <v>51</v>
      </c>
      <c r="C24" s="7" t="s">
        <v>22</v>
      </c>
      <c r="D24" s="9">
        <v>45370</v>
      </c>
      <c r="E24" s="7" t="s">
        <v>23</v>
      </c>
      <c r="F24" s="10">
        <v>5</v>
      </c>
      <c r="G24" s="7" t="s">
        <v>20</v>
      </c>
      <c r="H24" s="7" t="s">
        <v>23</v>
      </c>
      <c r="I24" s="10" t="s">
        <v>310</v>
      </c>
      <c r="J24" s="7" t="s">
        <v>23</v>
      </c>
      <c r="K24" s="10">
        <v>0</v>
      </c>
      <c r="L24" s="10">
        <v>1</v>
      </c>
      <c r="M24" s="10">
        <v>4</v>
      </c>
    </row>
    <row r="25" spans="1:13" ht="16.5" customHeight="1" x14ac:dyDescent="0.3">
      <c r="A25" s="7">
        <v>3254</v>
      </c>
      <c r="B25" s="7" t="s">
        <v>52</v>
      </c>
      <c r="C25" s="7" t="s">
        <v>18</v>
      </c>
      <c r="D25" s="9">
        <v>45371</v>
      </c>
      <c r="E25" s="7" t="s">
        <v>19</v>
      </c>
      <c r="F25" s="10">
        <v>15</v>
      </c>
      <c r="G25" s="7" t="s">
        <v>24</v>
      </c>
      <c r="H25" s="7" t="s">
        <v>19</v>
      </c>
      <c r="I25" s="10">
        <v>30</v>
      </c>
      <c r="J25" s="7" t="s">
        <v>19</v>
      </c>
      <c r="K25" s="10">
        <v>20</v>
      </c>
      <c r="L25" s="10">
        <v>20</v>
      </c>
      <c r="M25" s="10">
        <v>45</v>
      </c>
    </row>
    <row r="26" spans="1:13" ht="16.5" customHeight="1" x14ac:dyDescent="0.3">
      <c r="A26" s="7">
        <v>3255</v>
      </c>
      <c r="B26" s="7" t="s">
        <v>53</v>
      </c>
      <c r="C26" s="7" t="s">
        <v>26</v>
      </c>
      <c r="D26" s="9">
        <v>45372</v>
      </c>
      <c r="E26" s="7" t="s">
        <v>23</v>
      </c>
      <c r="F26" s="10">
        <v>10</v>
      </c>
      <c r="G26" s="7" t="s">
        <v>20</v>
      </c>
      <c r="H26" s="7" t="s">
        <v>23</v>
      </c>
      <c r="I26" s="10" t="s">
        <v>310</v>
      </c>
      <c r="J26" s="7" t="s">
        <v>19</v>
      </c>
      <c r="K26" s="10">
        <v>20</v>
      </c>
      <c r="L26" s="10">
        <v>10</v>
      </c>
      <c r="M26" s="10">
        <v>20</v>
      </c>
    </row>
    <row r="27" spans="1:13" ht="16.5" customHeight="1" x14ac:dyDescent="0.3">
      <c r="A27" s="7">
        <v>3256</v>
      </c>
      <c r="B27" s="7" t="s">
        <v>54</v>
      </c>
      <c r="C27" s="7" t="s">
        <v>22</v>
      </c>
      <c r="D27" s="9">
        <v>45373</v>
      </c>
      <c r="E27" s="7" t="s">
        <v>19</v>
      </c>
      <c r="F27" s="10">
        <v>5</v>
      </c>
      <c r="G27" s="7" t="s">
        <v>27</v>
      </c>
      <c r="H27" s="7" t="s">
        <v>23</v>
      </c>
      <c r="I27" s="10" t="s">
        <v>310</v>
      </c>
      <c r="J27" s="7" t="s">
        <v>23</v>
      </c>
      <c r="K27" s="10">
        <v>0</v>
      </c>
      <c r="L27" s="10">
        <v>0</v>
      </c>
      <c r="M27" s="10">
        <v>5</v>
      </c>
    </row>
    <row r="28" spans="1:13" ht="16.5" customHeight="1" x14ac:dyDescent="0.3">
      <c r="A28" s="7">
        <v>3257</v>
      </c>
      <c r="B28" s="7" t="s">
        <v>55</v>
      </c>
      <c r="C28" s="7" t="s">
        <v>18</v>
      </c>
      <c r="D28" s="9">
        <v>45374</v>
      </c>
      <c r="E28" s="7" t="s">
        <v>23</v>
      </c>
      <c r="F28" s="10">
        <v>15</v>
      </c>
      <c r="G28" s="7" t="s">
        <v>20</v>
      </c>
      <c r="H28" s="7" t="s">
        <v>19</v>
      </c>
      <c r="I28" s="10">
        <v>30</v>
      </c>
      <c r="J28" s="7" t="s">
        <v>19</v>
      </c>
      <c r="K28" s="10">
        <v>20</v>
      </c>
      <c r="L28" s="10">
        <v>5</v>
      </c>
      <c r="M28" s="10">
        <v>60</v>
      </c>
    </row>
    <row r="29" spans="1:13" ht="16.5" customHeight="1" x14ac:dyDescent="0.3">
      <c r="A29" s="7">
        <v>3258</v>
      </c>
      <c r="B29" s="7" t="s">
        <v>56</v>
      </c>
      <c r="C29" s="7" t="s">
        <v>26</v>
      </c>
      <c r="D29" s="9">
        <v>45375</v>
      </c>
      <c r="E29" s="7" t="s">
        <v>19</v>
      </c>
      <c r="F29" s="10">
        <v>10</v>
      </c>
      <c r="G29" s="7" t="s">
        <v>24</v>
      </c>
      <c r="H29" s="7" t="s">
        <v>23</v>
      </c>
      <c r="I29" s="10" t="s">
        <v>310</v>
      </c>
      <c r="J29" s="7" t="s">
        <v>19</v>
      </c>
      <c r="K29" s="10">
        <v>20</v>
      </c>
      <c r="L29" s="10">
        <v>15</v>
      </c>
      <c r="M29" s="10">
        <v>15</v>
      </c>
    </row>
    <row r="30" spans="1:13" ht="16.5" customHeight="1" x14ac:dyDescent="0.3">
      <c r="A30" s="7">
        <v>3259</v>
      </c>
      <c r="B30" s="7" t="s">
        <v>57</v>
      </c>
      <c r="C30" s="7" t="s">
        <v>22</v>
      </c>
      <c r="D30" s="9">
        <v>45376</v>
      </c>
      <c r="E30" s="7" t="s">
        <v>23</v>
      </c>
      <c r="F30" s="10">
        <v>5</v>
      </c>
      <c r="G30" s="7" t="s">
        <v>20</v>
      </c>
      <c r="H30" s="7" t="s">
        <v>23</v>
      </c>
      <c r="I30" s="10" t="s">
        <v>310</v>
      </c>
      <c r="J30" s="7" t="s">
        <v>23</v>
      </c>
      <c r="K30" s="10">
        <v>0</v>
      </c>
      <c r="L30" s="10">
        <v>1</v>
      </c>
      <c r="M30" s="10">
        <v>4</v>
      </c>
    </row>
    <row r="31" spans="1:13" ht="16.5" customHeight="1" x14ac:dyDescent="0.3">
      <c r="A31" s="7">
        <v>3260</v>
      </c>
      <c r="B31" s="7" t="s">
        <v>58</v>
      </c>
      <c r="C31" s="7" t="s">
        <v>18</v>
      </c>
      <c r="D31" s="9">
        <v>45377</v>
      </c>
      <c r="E31" s="7" t="s">
        <v>19</v>
      </c>
      <c r="F31" s="10">
        <v>15</v>
      </c>
      <c r="G31" s="7" t="s">
        <v>27</v>
      </c>
      <c r="H31" s="7" t="s">
        <v>19</v>
      </c>
      <c r="I31" s="10">
        <v>30</v>
      </c>
      <c r="J31" s="7" t="s">
        <v>19</v>
      </c>
      <c r="K31" s="10">
        <v>20</v>
      </c>
      <c r="L31" s="10">
        <v>7</v>
      </c>
      <c r="M31" s="10">
        <v>58</v>
      </c>
    </row>
    <row r="32" spans="1:13" ht="16.5" customHeight="1" x14ac:dyDescent="0.3">
      <c r="A32" s="7">
        <v>3261</v>
      </c>
      <c r="B32" s="7" t="s">
        <v>59</v>
      </c>
      <c r="C32" s="7" t="s">
        <v>26</v>
      </c>
      <c r="D32" s="9">
        <v>45378</v>
      </c>
      <c r="E32" s="7" t="s">
        <v>23</v>
      </c>
      <c r="F32" s="10">
        <v>10</v>
      </c>
      <c r="G32" s="7" t="s">
        <v>20</v>
      </c>
      <c r="H32" s="7" t="s">
        <v>23</v>
      </c>
      <c r="I32" s="10" t="s">
        <v>310</v>
      </c>
      <c r="J32" s="7" t="s">
        <v>19</v>
      </c>
      <c r="K32" s="10">
        <v>20</v>
      </c>
      <c r="L32" s="10">
        <v>10</v>
      </c>
      <c r="M32" s="10">
        <v>20</v>
      </c>
    </row>
    <row r="33" spans="1:13" ht="16.5" customHeight="1" x14ac:dyDescent="0.3">
      <c r="A33" s="7">
        <v>3262</v>
      </c>
      <c r="B33" s="7" t="s">
        <v>60</v>
      </c>
      <c r="C33" s="7" t="s">
        <v>22</v>
      </c>
      <c r="D33" s="9">
        <v>45379</v>
      </c>
      <c r="E33" s="7" t="s">
        <v>19</v>
      </c>
      <c r="F33" s="10">
        <v>5</v>
      </c>
      <c r="G33" s="7" t="s">
        <v>24</v>
      </c>
      <c r="H33" s="7" t="s">
        <v>23</v>
      </c>
      <c r="I33" s="10" t="s">
        <v>310</v>
      </c>
      <c r="J33" s="7" t="s">
        <v>23</v>
      </c>
      <c r="K33" s="10">
        <v>0</v>
      </c>
      <c r="L33" s="10">
        <v>0</v>
      </c>
      <c r="M33" s="10">
        <v>5</v>
      </c>
    </row>
    <row r="34" spans="1:13" ht="16.5" customHeight="1" x14ac:dyDescent="0.3">
      <c r="A34" s="7">
        <v>3263</v>
      </c>
      <c r="B34" s="7" t="s">
        <v>61</v>
      </c>
      <c r="C34" s="7" t="s">
        <v>18</v>
      </c>
      <c r="D34" s="9">
        <v>45380</v>
      </c>
      <c r="E34" s="7" t="s">
        <v>23</v>
      </c>
      <c r="F34" s="10">
        <v>15</v>
      </c>
      <c r="G34" s="7" t="s">
        <v>20</v>
      </c>
      <c r="H34" s="7" t="s">
        <v>19</v>
      </c>
      <c r="I34" s="10">
        <v>30</v>
      </c>
      <c r="J34" s="7" t="s">
        <v>19</v>
      </c>
      <c r="K34" s="10">
        <v>20</v>
      </c>
      <c r="L34" s="10">
        <v>3</v>
      </c>
      <c r="M34" s="10">
        <v>62</v>
      </c>
    </row>
    <row r="35" spans="1:13" ht="16.5" customHeight="1" x14ac:dyDescent="0.3">
      <c r="A35" s="7">
        <v>3264</v>
      </c>
      <c r="B35" s="7" t="s">
        <v>62</v>
      </c>
      <c r="C35" s="7" t="s">
        <v>26</v>
      </c>
      <c r="D35" s="9">
        <v>45381</v>
      </c>
      <c r="E35" s="7" t="s">
        <v>19</v>
      </c>
      <c r="F35" s="10">
        <v>10</v>
      </c>
      <c r="G35" s="7" t="s">
        <v>27</v>
      </c>
      <c r="H35" s="7" t="s">
        <v>23</v>
      </c>
      <c r="I35" s="10" t="s">
        <v>310</v>
      </c>
      <c r="J35" s="7" t="s">
        <v>19</v>
      </c>
      <c r="K35" s="10">
        <v>20</v>
      </c>
      <c r="L35" s="10">
        <v>15</v>
      </c>
      <c r="M35" s="10">
        <v>15</v>
      </c>
    </row>
    <row r="36" spans="1:13" ht="16.5" customHeight="1" x14ac:dyDescent="0.3">
      <c r="A36" s="7">
        <v>3265</v>
      </c>
      <c r="B36" s="7" t="s">
        <v>63</v>
      </c>
      <c r="C36" s="7" t="s">
        <v>22</v>
      </c>
      <c r="D36" s="9">
        <v>45382</v>
      </c>
      <c r="E36" s="7" t="s">
        <v>23</v>
      </c>
      <c r="F36" s="10">
        <v>5</v>
      </c>
      <c r="G36" s="7" t="s">
        <v>20</v>
      </c>
      <c r="H36" s="7" t="s">
        <v>23</v>
      </c>
      <c r="I36" s="10" t="s">
        <v>310</v>
      </c>
      <c r="J36" s="7" t="s">
        <v>23</v>
      </c>
      <c r="K36" s="10">
        <v>0</v>
      </c>
      <c r="L36" s="10">
        <v>1</v>
      </c>
      <c r="M36" s="10">
        <v>4</v>
      </c>
    </row>
    <row r="37" spans="1:13" ht="16.5" customHeight="1" x14ac:dyDescent="0.3">
      <c r="A37" s="7">
        <v>3266</v>
      </c>
      <c r="B37" s="7" t="s">
        <v>64</v>
      </c>
      <c r="C37" s="7" t="s">
        <v>22</v>
      </c>
      <c r="D37" s="9">
        <v>45383</v>
      </c>
      <c r="E37" s="7" t="s">
        <v>19</v>
      </c>
      <c r="F37" s="10">
        <v>5</v>
      </c>
      <c r="G37" s="7" t="s">
        <v>20</v>
      </c>
      <c r="H37" s="7" t="s">
        <v>23</v>
      </c>
      <c r="I37" s="10" t="s">
        <v>310</v>
      </c>
      <c r="J37" s="7" t="s">
        <v>23</v>
      </c>
      <c r="K37" s="10">
        <v>0</v>
      </c>
      <c r="L37" s="10">
        <v>0</v>
      </c>
      <c r="M37" s="10">
        <v>5</v>
      </c>
    </row>
    <row r="38" spans="1:13" ht="16.5" customHeight="1" x14ac:dyDescent="0.3">
      <c r="A38" s="7">
        <v>3267</v>
      </c>
      <c r="B38" s="7" t="s">
        <v>65</v>
      </c>
      <c r="C38" s="7" t="s">
        <v>18</v>
      </c>
      <c r="D38" s="9">
        <v>45384</v>
      </c>
      <c r="E38" s="7" t="s">
        <v>23</v>
      </c>
      <c r="F38" s="10">
        <v>15</v>
      </c>
      <c r="G38" s="7" t="s">
        <v>27</v>
      </c>
      <c r="H38" s="7" t="s">
        <v>19</v>
      </c>
      <c r="I38" s="10">
        <v>30</v>
      </c>
      <c r="J38" s="7" t="s">
        <v>19</v>
      </c>
      <c r="K38" s="10">
        <v>20</v>
      </c>
      <c r="L38" s="10">
        <v>7</v>
      </c>
      <c r="M38" s="10">
        <v>58</v>
      </c>
    </row>
    <row r="39" spans="1:13" ht="16.5" customHeight="1" x14ac:dyDescent="0.3">
      <c r="A39" s="7">
        <v>3268</v>
      </c>
      <c r="B39" s="7" t="s">
        <v>66</v>
      </c>
      <c r="C39" s="7" t="s">
        <v>26</v>
      </c>
      <c r="D39" s="9">
        <v>45385</v>
      </c>
      <c r="E39" s="7" t="s">
        <v>19</v>
      </c>
      <c r="F39" s="10">
        <v>10</v>
      </c>
      <c r="G39" s="7" t="s">
        <v>24</v>
      </c>
      <c r="H39" s="7" t="s">
        <v>23</v>
      </c>
      <c r="I39" s="10" t="s">
        <v>310</v>
      </c>
      <c r="J39" s="7" t="s">
        <v>19</v>
      </c>
      <c r="K39" s="10">
        <v>20</v>
      </c>
      <c r="L39" s="10">
        <v>10</v>
      </c>
      <c r="M39" s="10">
        <v>20</v>
      </c>
    </row>
    <row r="40" spans="1:13" ht="16.5" customHeight="1" x14ac:dyDescent="0.3">
      <c r="A40" s="7">
        <v>3269</v>
      </c>
      <c r="B40" s="7" t="s">
        <v>67</v>
      </c>
      <c r="C40" s="7" t="s">
        <v>22</v>
      </c>
      <c r="D40" s="9">
        <v>45386</v>
      </c>
      <c r="E40" s="7" t="s">
        <v>23</v>
      </c>
      <c r="F40" s="10">
        <v>5</v>
      </c>
      <c r="G40" s="7" t="s">
        <v>27</v>
      </c>
      <c r="H40" s="7" t="s">
        <v>23</v>
      </c>
      <c r="I40" s="10" t="s">
        <v>310</v>
      </c>
      <c r="J40" s="7" t="s">
        <v>23</v>
      </c>
      <c r="K40" s="10">
        <v>0</v>
      </c>
      <c r="L40" s="10">
        <v>1</v>
      </c>
      <c r="M40" s="10">
        <v>4</v>
      </c>
    </row>
    <row r="41" spans="1:13" ht="16.5" customHeight="1" x14ac:dyDescent="0.3">
      <c r="A41" s="7">
        <v>3270</v>
      </c>
      <c r="B41" s="7" t="s">
        <v>68</v>
      </c>
      <c r="C41" s="7" t="s">
        <v>18</v>
      </c>
      <c r="D41" s="9">
        <v>45387</v>
      </c>
      <c r="E41" s="7" t="s">
        <v>19</v>
      </c>
      <c r="F41" s="10">
        <v>15</v>
      </c>
      <c r="G41" s="7" t="s">
        <v>20</v>
      </c>
      <c r="H41" s="7" t="s">
        <v>19</v>
      </c>
      <c r="I41" s="10">
        <v>30</v>
      </c>
      <c r="J41" s="7" t="s">
        <v>19</v>
      </c>
      <c r="K41" s="10">
        <v>20</v>
      </c>
      <c r="L41" s="10">
        <v>15</v>
      </c>
      <c r="M41" s="10">
        <v>50</v>
      </c>
    </row>
    <row r="42" spans="1:13" ht="16.5" customHeight="1" x14ac:dyDescent="0.3">
      <c r="A42" s="7">
        <v>3271</v>
      </c>
      <c r="B42" s="7" t="s">
        <v>69</v>
      </c>
      <c r="C42" s="7" t="s">
        <v>26</v>
      </c>
      <c r="D42" s="9">
        <v>45388</v>
      </c>
      <c r="E42" s="7" t="s">
        <v>23</v>
      </c>
      <c r="F42" s="10">
        <v>10</v>
      </c>
      <c r="G42" s="7" t="s">
        <v>20</v>
      </c>
      <c r="H42" s="7" t="s">
        <v>23</v>
      </c>
      <c r="I42" s="10" t="s">
        <v>310</v>
      </c>
      <c r="J42" s="7" t="s">
        <v>19</v>
      </c>
      <c r="K42" s="10">
        <v>20</v>
      </c>
      <c r="L42" s="10">
        <v>5</v>
      </c>
      <c r="M42" s="10">
        <v>25</v>
      </c>
    </row>
    <row r="43" spans="1:13" ht="16.5" customHeight="1" x14ac:dyDescent="0.3">
      <c r="A43" s="7">
        <v>3272</v>
      </c>
      <c r="B43" s="7" t="s">
        <v>70</v>
      </c>
      <c r="C43" s="7" t="s">
        <v>22</v>
      </c>
      <c r="D43" s="9">
        <v>45389</v>
      </c>
      <c r="E43" s="7" t="s">
        <v>19</v>
      </c>
      <c r="F43" s="10">
        <v>5</v>
      </c>
      <c r="G43" s="7" t="s">
        <v>24</v>
      </c>
      <c r="H43" s="7" t="s">
        <v>23</v>
      </c>
      <c r="I43" s="10" t="s">
        <v>310</v>
      </c>
      <c r="J43" s="7" t="s">
        <v>23</v>
      </c>
      <c r="K43" s="10">
        <v>0</v>
      </c>
      <c r="L43" s="10">
        <v>0</v>
      </c>
      <c r="M43" s="10">
        <v>5</v>
      </c>
    </row>
    <row r="44" spans="1:13" ht="16.5" customHeight="1" x14ac:dyDescent="0.3">
      <c r="A44" s="7">
        <v>3273</v>
      </c>
      <c r="B44" s="7" t="s">
        <v>71</v>
      </c>
      <c r="C44" s="7" t="s">
        <v>18</v>
      </c>
      <c r="D44" s="9">
        <v>45390</v>
      </c>
      <c r="E44" s="7" t="s">
        <v>23</v>
      </c>
      <c r="F44" s="10">
        <v>15</v>
      </c>
      <c r="G44" s="7" t="s">
        <v>27</v>
      </c>
      <c r="H44" s="7" t="s">
        <v>19</v>
      </c>
      <c r="I44" s="10">
        <v>30</v>
      </c>
      <c r="J44" s="7" t="s">
        <v>19</v>
      </c>
      <c r="K44" s="10">
        <v>20</v>
      </c>
      <c r="L44" s="10">
        <v>20</v>
      </c>
      <c r="M44" s="10">
        <v>45</v>
      </c>
    </row>
    <row r="45" spans="1:13" ht="16.5" customHeight="1" x14ac:dyDescent="0.3">
      <c r="A45" s="7">
        <v>3274</v>
      </c>
      <c r="B45" s="7" t="s">
        <v>72</v>
      </c>
      <c r="C45" s="7" t="s">
        <v>26</v>
      </c>
      <c r="D45" s="9">
        <v>45391</v>
      </c>
      <c r="E45" s="7" t="s">
        <v>19</v>
      </c>
      <c r="F45" s="10">
        <v>10</v>
      </c>
      <c r="G45" s="7" t="s">
        <v>27</v>
      </c>
      <c r="H45" s="7" t="s">
        <v>23</v>
      </c>
      <c r="I45" s="10" t="s">
        <v>310</v>
      </c>
      <c r="J45" s="7" t="s">
        <v>19</v>
      </c>
      <c r="K45" s="10">
        <v>20</v>
      </c>
      <c r="L45" s="10">
        <v>12</v>
      </c>
      <c r="M45" s="10">
        <v>18</v>
      </c>
    </row>
    <row r="46" spans="1:13" ht="16.5" customHeight="1" x14ac:dyDescent="0.3">
      <c r="A46" s="7">
        <v>3275</v>
      </c>
      <c r="B46" s="7" t="s">
        <v>73</v>
      </c>
      <c r="C46" s="7" t="s">
        <v>22</v>
      </c>
      <c r="D46" s="9">
        <v>45392</v>
      </c>
      <c r="E46" s="7" t="s">
        <v>23</v>
      </c>
      <c r="F46" s="10">
        <v>5</v>
      </c>
      <c r="G46" s="7" t="s">
        <v>20</v>
      </c>
      <c r="H46" s="7" t="s">
        <v>23</v>
      </c>
      <c r="I46" s="10" t="s">
        <v>310</v>
      </c>
      <c r="J46" s="7" t="s">
        <v>23</v>
      </c>
      <c r="K46" s="10">
        <v>0</v>
      </c>
      <c r="L46" s="10">
        <v>2</v>
      </c>
      <c r="M46" s="10">
        <v>3</v>
      </c>
    </row>
    <row r="47" spans="1:13" ht="16.5" customHeight="1" x14ac:dyDescent="0.3">
      <c r="A47" s="7">
        <v>3276</v>
      </c>
      <c r="B47" s="7" t="s">
        <v>74</v>
      </c>
      <c r="C47" s="7" t="s">
        <v>18</v>
      </c>
      <c r="D47" s="9">
        <v>45393</v>
      </c>
      <c r="E47" s="7" t="s">
        <v>19</v>
      </c>
      <c r="F47" s="10">
        <v>15</v>
      </c>
      <c r="G47" s="7" t="s">
        <v>24</v>
      </c>
      <c r="H47" s="7" t="s">
        <v>19</v>
      </c>
      <c r="I47" s="10">
        <v>30</v>
      </c>
      <c r="J47" s="7" t="s">
        <v>19</v>
      </c>
      <c r="K47" s="10">
        <v>20</v>
      </c>
      <c r="L47" s="10">
        <v>5</v>
      </c>
      <c r="M47" s="10">
        <v>60</v>
      </c>
    </row>
    <row r="48" spans="1:13" ht="16.5" customHeight="1" x14ac:dyDescent="0.3">
      <c r="A48" s="7">
        <v>3277</v>
      </c>
      <c r="B48" s="7" t="s">
        <v>75</v>
      </c>
      <c r="C48" s="7" t="s">
        <v>26</v>
      </c>
      <c r="D48" s="9">
        <v>45394</v>
      </c>
      <c r="E48" s="7" t="s">
        <v>23</v>
      </c>
      <c r="F48" s="10">
        <v>10</v>
      </c>
      <c r="G48" s="7" t="s">
        <v>20</v>
      </c>
      <c r="H48" s="7" t="s">
        <v>23</v>
      </c>
      <c r="I48" s="10" t="s">
        <v>310</v>
      </c>
      <c r="J48" s="7" t="s">
        <v>19</v>
      </c>
      <c r="K48" s="10">
        <v>20</v>
      </c>
      <c r="L48" s="10">
        <v>10</v>
      </c>
      <c r="M48" s="10">
        <v>20</v>
      </c>
    </row>
    <row r="49" spans="1:13" ht="16.5" customHeight="1" x14ac:dyDescent="0.3">
      <c r="A49" s="7">
        <v>3278</v>
      </c>
      <c r="B49" s="7" t="s">
        <v>76</v>
      </c>
      <c r="C49" s="7" t="s">
        <v>22</v>
      </c>
      <c r="D49" s="9">
        <v>45395</v>
      </c>
      <c r="E49" s="7" t="s">
        <v>19</v>
      </c>
      <c r="F49" s="10">
        <v>5</v>
      </c>
      <c r="G49" s="7" t="s">
        <v>27</v>
      </c>
      <c r="H49" s="7" t="s">
        <v>23</v>
      </c>
      <c r="I49" s="10" t="s">
        <v>310</v>
      </c>
      <c r="J49" s="7" t="s">
        <v>23</v>
      </c>
      <c r="K49" s="10">
        <v>0</v>
      </c>
      <c r="L49" s="10">
        <v>0</v>
      </c>
      <c r="M49" s="10">
        <v>5</v>
      </c>
    </row>
    <row r="50" spans="1:13" ht="16.5" customHeight="1" x14ac:dyDescent="0.3">
      <c r="A50" s="7">
        <v>3279</v>
      </c>
      <c r="B50" s="7" t="s">
        <v>77</v>
      </c>
      <c r="C50" s="7" t="s">
        <v>18</v>
      </c>
      <c r="D50" s="9">
        <v>45396</v>
      </c>
      <c r="E50" s="7" t="s">
        <v>23</v>
      </c>
      <c r="F50" s="10">
        <v>15</v>
      </c>
      <c r="G50" s="7" t="s">
        <v>20</v>
      </c>
      <c r="H50" s="7" t="s">
        <v>19</v>
      </c>
      <c r="I50" s="10">
        <v>30</v>
      </c>
      <c r="J50" s="7" t="s">
        <v>19</v>
      </c>
      <c r="K50" s="10">
        <v>20</v>
      </c>
      <c r="L50" s="10">
        <v>3</v>
      </c>
      <c r="M50" s="10">
        <v>62</v>
      </c>
    </row>
    <row r="51" spans="1:13" ht="16.5" customHeight="1" x14ac:dyDescent="0.3">
      <c r="A51" s="7">
        <v>3280</v>
      </c>
      <c r="B51" s="7" t="s">
        <v>78</v>
      </c>
      <c r="C51" s="7" t="s">
        <v>26</v>
      </c>
      <c r="D51" s="9">
        <v>45397</v>
      </c>
      <c r="E51" s="7" t="s">
        <v>19</v>
      </c>
      <c r="F51" s="10">
        <v>10</v>
      </c>
      <c r="G51" s="7" t="s">
        <v>24</v>
      </c>
      <c r="H51" s="7" t="s">
        <v>23</v>
      </c>
      <c r="I51" s="10" t="s">
        <v>310</v>
      </c>
      <c r="J51" s="7" t="s">
        <v>19</v>
      </c>
      <c r="K51" s="10">
        <v>20</v>
      </c>
      <c r="L51" s="10">
        <v>15</v>
      </c>
      <c r="M51" s="10">
        <v>15</v>
      </c>
    </row>
    <row r="52" spans="1:13" ht="16.5" customHeight="1" x14ac:dyDescent="0.3">
      <c r="A52" s="7">
        <v>3281</v>
      </c>
      <c r="B52" s="7" t="s">
        <v>79</v>
      </c>
      <c r="C52" s="7" t="s">
        <v>22</v>
      </c>
      <c r="D52" s="9">
        <v>45398</v>
      </c>
      <c r="E52" s="7" t="s">
        <v>23</v>
      </c>
      <c r="F52" s="10">
        <v>5</v>
      </c>
      <c r="G52" s="7" t="s">
        <v>20</v>
      </c>
      <c r="H52" s="7" t="s">
        <v>23</v>
      </c>
      <c r="I52" s="10" t="s">
        <v>310</v>
      </c>
      <c r="J52" s="7" t="s">
        <v>23</v>
      </c>
      <c r="K52" s="10">
        <v>0</v>
      </c>
      <c r="L52" s="10">
        <v>1</v>
      </c>
      <c r="M52" s="10">
        <v>4</v>
      </c>
    </row>
    <row r="53" spans="1:13" ht="16.5" customHeight="1" x14ac:dyDescent="0.3">
      <c r="A53" s="7">
        <v>3282</v>
      </c>
      <c r="B53" s="7" t="s">
        <v>80</v>
      </c>
      <c r="C53" s="7" t="s">
        <v>18</v>
      </c>
      <c r="D53" s="9">
        <v>45399</v>
      </c>
      <c r="E53" s="7" t="s">
        <v>19</v>
      </c>
      <c r="F53" s="10">
        <v>15</v>
      </c>
      <c r="G53" s="7" t="s">
        <v>27</v>
      </c>
      <c r="H53" s="7" t="s">
        <v>19</v>
      </c>
      <c r="I53" s="10">
        <v>30</v>
      </c>
      <c r="J53" s="7" t="s">
        <v>19</v>
      </c>
      <c r="K53" s="10">
        <v>20</v>
      </c>
      <c r="L53" s="10">
        <v>7</v>
      </c>
      <c r="M53" s="10">
        <v>58</v>
      </c>
    </row>
    <row r="54" spans="1:13" ht="16.5" customHeight="1" x14ac:dyDescent="0.3">
      <c r="A54" s="7">
        <v>3283</v>
      </c>
      <c r="B54" s="7" t="s">
        <v>81</v>
      </c>
      <c r="C54" s="7" t="s">
        <v>26</v>
      </c>
      <c r="D54" s="9">
        <v>45400</v>
      </c>
      <c r="E54" s="7" t="s">
        <v>23</v>
      </c>
      <c r="F54" s="10">
        <v>10</v>
      </c>
      <c r="G54" s="7" t="s">
        <v>20</v>
      </c>
      <c r="H54" s="7" t="s">
        <v>23</v>
      </c>
      <c r="I54" s="10" t="s">
        <v>310</v>
      </c>
      <c r="J54" s="7" t="s">
        <v>19</v>
      </c>
      <c r="K54" s="10">
        <v>20</v>
      </c>
      <c r="L54" s="10">
        <v>10</v>
      </c>
      <c r="M54" s="10">
        <v>20</v>
      </c>
    </row>
    <row r="55" spans="1:13" ht="16.5" customHeight="1" x14ac:dyDescent="0.3">
      <c r="A55" s="7">
        <v>3284</v>
      </c>
      <c r="B55" s="7" t="s">
        <v>82</v>
      </c>
      <c r="C55" s="7" t="s">
        <v>22</v>
      </c>
      <c r="D55" s="9">
        <v>45401</v>
      </c>
      <c r="E55" s="7" t="s">
        <v>19</v>
      </c>
      <c r="F55" s="10">
        <v>5</v>
      </c>
      <c r="G55" s="7" t="s">
        <v>24</v>
      </c>
      <c r="H55" s="7" t="s">
        <v>23</v>
      </c>
      <c r="I55" s="10" t="s">
        <v>310</v>
      </c>
      <c r="J55" s="7" t="s">
        <v>23</v>
      </c>
      <c r="K55" s="10">
        <v>0</v>
      </c>
      <c r="L55" s="10">
        <v>0</v>
      </c>
      <c r="M55" s="10">
        <v>5</v>
      </c>
    </row>
    <row r="56" spans="1:13" ht="16.5" customHeight="1" x14ac:dyDescent="0.3">
      <c r="A56" s="7">
        <v>3285</v>
      </c>
      <c r="B56" s="7" t="s">
        <v>83</v>
      </c>
      <c r="C56" s="7" t="s">
        <v>18</v>
      </c>
      <c r="D56" s="9">
        <v>45402</v>
      </c>
      <c r="E56" s="7" t="s">
        <v>23</v>
      </c>
      <c r="F56" s="10">
        <v>15</v>
      </c>
      <c r="G56" s="7" t="s">
        <v>20</v>
      </c>
      <c r="H56" s="7" t="s">
        <v>19</v>
      </c>
      <c r="I56" s="10">
        <v>30</v>
      </c>
      <c r="J56" s="7" t="s">
        <v>19</v>
      </c>
      <c r="K56" s="10">
        <v>20</v>
      </c>
      <c r="L56" s="10">
        <v>20</v>
      </c>
      <c r="M56" s="10">
        <v>45</v>
      </c>
    </row>
    <row r="57" spans="1:13" ht="16.5" customHeight="1" x14ac:dyDescent="0.3">
      <c r="A57" s="7">
        <v>3286</v>
      </c>
      <c r="B57" s="7" t="s">
        <v>84</v>
      </c>
      <c r="C57" s="7" t="s">
        <v>26</v>
      </c>
      <c r="D57" s="9">
        <v>45403</v>
      </c>
      <c r="E57" s="7" t="s">
        <v>19</v>
      </c>
      <c r="F57" s="10">
        <v>10</v>
      </c>
      <c r="G57" s="7" t="s">
        <v>27</v>
      </c>
      <c r="H57" s="7" t="s">
        <v>23</v>
      </c>
      <c r="I57" s="10" t="s">
        <v>310</v>
      </c>
      <c r="J57" s="7" t="s">
        <v>19</v>
      </c>
      <c r="K57" s="10">
        <v>20</v>
      </c>
      <c r="L57" s="10">
        <v>15</v>
      </c>
      <c r="M57" s="10">
        <v>15</v>
      </c>
    </row>
    <row r="58" spans="1:13" ht="16.5" customHeight="1" x14ac:dyDescent="0.3">
      <c r="A58" s="7">
        <v>3287</v>
      </c>
      <c r="B58" s="7" t="s">
        <v>85</v>
      </c>
      <c r="C58" s="7" t="s">
        <v>22</v>
      </c>
      <c r="D58" s="9">
        <v>45404</v>
      </c>
      <c r="E58" s="7" t="s">
        <v>23</v>
      </c>
      <c r="F58" s="10">
        <v>5</v>
      </c>
      <c r="G58" s="7" t="s">
        <v>20</v>
      </c>
      <c r="H58" s="7" t="s">
        <v>23</v>
      </c>
      <c r="I58" s="10" t="s">
        <v>310</v>
      </c>
      <c r="J58" s="7" t="s">
        <v>23</v>
      </c>
      <c r="K58" s="10">
        <v>0</v>
      </c>
      <c r="L58" s="10">
        <v>1</v>
      </c>
      <c r="M58" s="10">
        <v>4</v>
      </c>
    </row>
    <row r="59" spans="1:13" ht="16.5" customHeight="1" x14ac:dyDescent="0.3">
      <c r="A59" s="7">
        <v>3288</v>
      </c>
      <c r="B59" s="7" t="s">
        <v>86</v>
      </c>
      <c r="C59" s="7" t="s">
        <v>18</v>
      </c>
      <c r="D59" s="9">
        <v>45405</v>
      </c>
      <c r="E59" s="7" t="s">
        <v>19</v>
      </c>
      <c r="F59" s="10">
        <v>15</v>
      </c>
      <c r="G59" s="7" t="s">
        <v>24</v>
      </c>
      <c r="H59" s="7" t="s">
        <v>19</v>
      </c>
      <c r="I59" s="10">
        <v>30</v>
      </c>
      <c r="J59" s="7" t="s">
        <v>19</v>
      </c>
      <c r="K59" s="10">
        <v>20</v>
      </c>
      <c r="L59" s="10">
        <v>3</v>
      </c>
      <c r="M59" s="10">
        <v>62</v>
      </c>
    </row>
    <row r="60" spans="1:13" ht="16.5" customHeight="1" x14ac:dyDescent="0.3">
      <c r="A60" s="7">
        <v>3289</v>
      </c>
      <c r="B60" s="7" t="s">
        <v>87</v>
      </c>
      <c r="C60" s="7" t="s">
        <v>26</v>
      </c>
      <c r="D60" s="9">
        <v>45406</v>
      </c>
      <c r="E60" s="7" t="s">
        <v>23</v>
      </c>
      <c r="F60" s="10">
        <v>10</v>
      </c>
      <c r="G60" s="7" t="s">
        <v>20</v>
      </c>
      <c r="H60" s="7" t="s">
        <v>23</v>
      </c>
      <c r="I60" s="10" t="s">
        <v>310</v>
      </c>
      <c r="J60" s="7" t="s">
        <v>19</v>
      </c>
      <c r="K60" s="10">
        <v>20</v>
      </c>
      <c r="L60" s="10">
        <v>10</v>
      </c>
      <c r="M60" s="10">
        <v>20</v>
      </c>
    </row>
    <row r="61" spans="1:13" ht="16.5" customHeight="1" x14ac:dyDescent="0.3">
      <c r="A61" s="7">
        <v>3290</v>
      </c>
      <c r="B61" s="7" t="s">
        <v>88</v>
      </c>
      <c r="C61" s="7" t="s">
        <v>22</v>
      </c>
      <c r="D61" s="9">
        <v>45407</v>
      </c>
      <c r="E61" s="7" t="s">
        <v>19</v>
      </c>
      <c r="F61" s="10">
        <v>5</v>
      </c>
      <c r="G61" s="7" t="s">
        <v>27</v>
      </c>
      <c r="H61" s="7" t="s">
        <v>23</v>
      </c>
      <c r="I61" s="10" t="s">
        <v>310</v>
      </c>
      <c r="J61" s="7" t="s">
        <v>23</v>
      </c>
      <c r="K61" s="10">
        <v>0</v>
      </c>
      <c r="L61" s="10">
        <v>0</v>
      </c>
      <c r="M61" s="10">
        <v>5</v>
      </c>
    </row>
    <row r="62" spans="1:13" ht="16.5" customHeight="1" x14ac:dyDescent="0.3">
      <c r="A62" s="7">
        <v>3291</v>
      </c>
      <c r="B62" s="7" t="s">
        <v>89</v>
      </c>
      <c r="C62" s="7" t="s">
        <v>18</v>
      </c>
      <c r="D62" s="9">
        <v>45408</v>
      </c>
      <c r="E62" s="7" t="s">
        <v>23</v>
      </c>
      <c r="F62" s="10">
        <v>15</v>
      </c>
      <c r="G62" s="7" t="s">
        <v>20</v>
      </c>
      <c r="H62" s="7" t="s">
        <v>19</v>
      </c>
      <c r="I62" s="10">
        <v>30</v>
      </c>
      <c r="J62" s="7" t="s">
        <v>19</v>
      </c>
      <c r="K62" s="10">
        <v>20</v>
      </c>
      <c r="L62" s="10">
        <v>5</v>
      </c>
      <c r="M62" s="10">
        <v>60</v>
      </c>
    </row>
    <row r="63" spans="1:13" ht="16.5" customHeight="1" x14ac:dyDescent="0.3">
      <c r="A63" s="7">
        <v>3292</v>
      </c>
      <c r="B63" s="7" t="s">
        <v>90</v>
      </c>
      <c r="C63" s="7" t="s">
        <v>26</v>
      </c>
      <c r="D63" s="9">
        <v>45409</v>
      </c>
      <c r="E63" s="7" t="s">
        <v>19</v>
      </c>
      <c r="F63" s="10">
        <v>10</v>
      </c>
      <c r="G63" s="7" t="s">
        <v>24</v>
      </c>
      <c r="H63" s="7" t="s">
        <v>23</v>
      </c>
      <c r="I63" s="10" t="s">
        <v>310</v>
      </c>
      <c r="J63" s="7" t="s">
        <v>19</v>
      </c>
      <c r="K63" s="10">
        <v>20</v>
      </c>
      <c r="L63" s="10">
        <v>15</v>
      </c>
      <c r="M63" s="10">
        <v>15</v>
      </c>
    </row>
    <row r="64" spans="1:13" ht="16.5" customHeight="1" x14ac:dyDescent="0.3">
      <c r="A64" s="7">
        <v>3293</v>
      </c>
      <c r="B64" s="7" t="s">
        <v>91</v>
      </c>
      <c r="C64" s="7" t="s">
        <v>22</v>
      </c>
      <c r="D64" s="9">
        <v>45410</v>
      </c>
      <c r="E64" s="7" t="s">
        <v>23</v>
      </c>
      <c r="F64" s="10">
        <v>5</v>
      </c>
      <c r="G64" s="7" t="s">
        <v>20</v>
      </c>
      <c r="H64" s="7" t="s">
        <v>23</v>
      </c>
      <c r="I64" s="10" t="s">
        <v>310</v>
      </c>
      <c r="J64" s="7" t="s">
        <v>23</v>
      </c>
      <c r="K64" s="10">
        <v>0</v>
      </c>
      <c r="L64" s="10">
        <v>1</v>
      </c>
      <c r="M64" s="10">
        <v>4</v>
      </c>
    </row>
    <row r="65" spans="1:13" ht="16.5" customHeight="1" x14ac:dyDescent="0.3">
      <c r="A65" s="7">
        <v>3294</v>
      </c>
      <c r="B65" s="7" t="s">
        <v>92</v>
      </c>
      <c r="C65" s="7" t="s">
        <v>18</v>
      </c>
      <c r="D65" s="9">
        <v>45411</v>
      </c>
      <c r="E65" s="7" t="s">
        <v>19</v>
      </c>
      <c r="F65" s="10">
        <v>15</v>
      </c>
      <c r="G65" s="7" t="s">
        <v>27</v>
      </c>
      <c r="H65" s="7" t="s">
        <v>19</v>
      </c>
      <c r="I65" s="10">
        <v>30</v>
      </c>
      <c r="J65" s="7" t="s">
        <v>19</v>
      </c>
      <c r="K65" s="10">
        <v>20</v>
      </c>
      <c r="L65" s="10">
        <v>20</v>
      </c>
      <c r="M65" s="10">
        <v>45</v>
      </c>
    </row>
    <row r="66" spans="1:13" ht="16.5" customHeight="1" x14ac:dyDescent="0.3">
      <c r="A66" s="7">
        <v>3295</v>
      </c>
      <c r="B66" s="7" t="s">
        <v>93</v>
      </c>
      <c r="C66" s="7" t="s">
        <v>26</v>
      </c>
      <c r="D66" s="9">
        <v>45412</v>
      </c>
      <c r="E66" s="7" t="s">
        <v>23</v>
      </c>
      <c r="F66" s="10">
        <v>10</v>
      </c>
      <c r="G66" s="7" t="s">
        <v>20</v>
      </c>
      <c r="H66" s="7" t="s">
        <v>23</v>
      </c>
      <c r="I66" s="10" t="s">
        <v>310</v>
      </c>
      <c r="J66" s="7" t="s">
        <v>19</v>
      </c>
      <c r="K66" s="10">
        <v>20</v>
      </c>
      <c r="L66" s="10">
        <v>5</v>
      </c>
      <c r="M66" s="10">
        <v>25</v>
      </c>
    </row>
    <row r="67" spans="1:13" ht="16.5" customHeight="1" x14ac:dyDescent="0.3">
      <c r="A67" s="7">
        <v>3296</v>
      </c>
      <c r="B67" s="7" t="s">
        <v>94</v>
      </c>
      <c r="C67" s="7" t="s">
        <v>22</v>
      </c>
      <c r="D67" s="9">
        <v>45413</v>
      </c>
      <c r="E67" s="7" t="s">
        <v>23</v>
      </c>
      <c r="F67" s="10">
        <v>5</v>
      </c>
      <c r="G67" s="7" t="s">
        <v>20</v>
      </c>
      <c r="H67" s="7" t="s">
        <v>23</v>
      </c>
      <c r="I67" s="10" t="s">
        <v>310</v>
      </c>
      <c r="J67" s="7" t="s">
        <v>23</v>
      </c>
      <c r="K67" s="10">
        <v>0</v>
      </c>
      <c r="L67" s="10">
        <v>0</v>
      </c>
      <c r="M67" s="10">
        <v>5</v>
      </c>
    </row>
    <row r="68" spans="1:13" ht="16.5" customHeight="1" x14ac:dyDescent="0.3">
      <c r="A68" s="7">
        <v>3297</v>
      </c>
      <c r="B68" s="7" t="s">
        <v>95</v>
      </c>
      <c r="C68" s="7" t="s">
        <v>18</v>
      </c>
      <c r="D68" s="9">
        <v>45414</v>
      </c>
      <c r="E68" s="7" t="s">
        <v>19</v>
      </c>
      <c r="F68" s="10">
        <v>15</v>
      </c>
      <c r="G68" s="7" t="s">
        <v>27</v>
      </c>
      <c r="H68" s="7" t="s">
        <v>19</v>
      </c>
      <c r="I68" s="10">
        <v>30</v>
      </c>
      <c r="J68" s="7" t="s">
        <v>19</v>
      </c>
      <c r="K68" s="10">
        <v>20</v>
      </c>
      <c r="L68" s="10">
        <v>7</v>
      </c>
      <c r="M68" s="10">
        <v>58</v>
      </c>
    </row>
    <row r="69" spans="1:13" ht="16.5" customHeight="1" x14ac:dyDescent="0.3">
      <c r="A69" s="7">
        <v>3298</v>
      </c>
      <c r="B69" s="7" t="s">
        <v>96</v>
      </c>
      <c r="C69" s="7" t="s">
        <v>26</v>
      </c>
      <c r="D69" s="9">
        <v>45415</v>
      </c>
      <c r="E69" s="7" t="s">
        <v>23</v>
      </c>
      <c r="F69" s="10">
        <v>10</v>
      </c>
      <c r="G69" s="7" t="s">
        <v>24</v>
      </c>
      <c r="H69" s="7" t="s">
        <v>23</v>
      </c>
      <c r="I69" s="10" t="s">
        <v>310</v>
      </c>
      <c r="J69" s="7" t="s">
        <v>19</v>
      </c>
      <c r="K69" s="10">
        <v>20</v>
      </c>
      <c r="L69" s="10">
        <v>10</v>
      </c>
      <c r="M69" s="10">
        <v>20</v>
      </c>
    </row>
    <row r="70" spans="1:13" ht="16.5" customHeight="1" x14ac:dyDescent="0.3">
      <c r="A70" s="7">
        <v>3299</v>
      </c>
      <c r="B70" s="7" t="s">
        <v>97</v>
      </c>
      <c r="C70" s="7" t="s">
        <v>22</v>
      </c>
      <c r="D70" s="9">
        <v>45416</v>
      </c>
      <c r="E70" s="7" t="s">
        <v>19</v>
      </c>
      <c r="F70" s="10">
        <v>5</v>
      </c>
      <c r="G70" s="7" t="s">
        <v>27</v>
      </c>
      <c r="H70" s="7" t="s">
        <v>23</v>
      </c>
      <c r="I70" s="10" t="s">
        <v>310</v>
      </c>
      <c r="J70" s="7" t="s">
        <v>23</v>
      </c>
      <c r="K70" s="10">
        <v>0</v>
      </c>
      <c r="L70" s="10">
        <v>1</v>
      </c>
      <c r="M70" s="10">
        <v>4</v>
      </c>
    </row>
    <row r="71" spans="1:13" ht="16.5" customHeight="1" x14ac:dyDescent="0.3">
      <c r="A71" s="7">
        <v>3300</v>
      </c>
      <c r="B71" s="7" t="s">
        <v>98</v>
      </c>
      <c r="C71" s="7" t="s">
        <v>18</v>
      </c>
      <c r="D71" s="9">
        <v>45417</v>
      </c>
      <c r="E71" s="7" t="s">
        <v>23</v>
      </c>
      <c r="F71" s="10">
        <v>15</v>
      </c>
      <c r="G71" s="7" t="s">
        <v>20</v>
      </c>
      <c r="H71" s="7" t="s">
        <v>19</v>
      </c>
      <c r="I71" s="10">
        <v>30</v>
      </c>
      <c r="J71" s="7" t="s">
        <v>19</v>
      </c>
      <c r="K71" s="10">
        <v>20</v>
      </c>
      <c r="L71" s="10">
        <v>15</v>
      </c>
      <c r="M71" s="10">
        <v>50</v>
      </c>
    </row>
    <row r="72" spans="1:13" ht="16.5" customHeight="1" x14ac:dyDescent="0.3">
      <c r="A72" s="7">
        <v>3301</v>
      </c>
      <c r="B72" s="7" t="s">
        <v>99</v>
      </c>
      <c r="C72" s="7" t="s">
        <v>26</v>
      </c>
      <c r="D72" s="9">
        <v>45418</v>
      </c>
      <c r="E72" s="7" t="s">
        <v>19</v>
      </c>
      <c r="F72" s="10">
        <v>10</v>
      </c>
      <c r="G72" s="7" t="s">
        <v>20</v>
      </c>
      <c r="H72" s="7" t="s">
        <v>23</v>
      </c>
      <c r="I72" s="10" t="s">
        <v>310</v>
      </c>
      <c r="J72" s="7" t="s">
        <v>19</v>
      </c>
      <c r="K72" s="10">
        <v>20</v>
      </c>
      <c r="L72" s="10">
        <v>5</v>
      </c>
      <c r="M72" s="10">
        <v>25</v>
      </c>
    </row>
    <row r="73" spans="1:13" ht="16.5" customHeight="1" x14ac:dyDescent="0.3">
      <c r="A73" s="7">
        <v>3302</v>
      </c>
      <c r="B73" s="7" t="s">
        <v>100</v>
      </c>
      <c r="C73" s="7" t="s">
        <v>22</v>
      </c>
      <c r="D73" s="9">
        <v>45419</v>
      </c>
      <c r="E73" s="7" t="s">
        <v>23</v>
      </c>
      <c r="F73" s="10">
        <v>5</v>
      </c>
      <c r="G73" s="7" t="s">
        <v>24</v>
      </c>
      <c r="H73" s="7" t="s">
        <v>23</v>
      </c>
      <c r="I73" s="10" t="s">
        <v>310</v>
      </c>
      <c r="J73" s="7" t="s">
        <v>23</v>
      </c>
      <c r="K73" s="10">
        <v>0</v>
      </c>
      <c r="L73" s="10">
        <v>0</v>
      </c>
      <c r="M73" s="10">
        <v>5</v>
      </c>
    </row>
    <row r="74" spans="1:13" ht="16.5" customHeight="1" x14ac:dyDescent="0.3">
      <c r="A74" s="7">
        <v>3303</v>
      </c>
      <c r="B74" s="7" t="s">
        <v>101</v>
      </c>
      <c r="C74" s="7" t="s">
        <v>18</v>
      </c>
      <c r="D74" s="9">
        <v>45420</v>
      </c>
      <c r="E74" s="7" t="s">
        <v>19</v>
      </c>
      <c r="F74" s="10">
        <v>15</v>
      </c>
      <c r="G74" s="7" t="s">
        <v>27</v>
      </c>
      <c r="H74" s="7" t="s">
        <v>19</v>
      </c>
      <c r="I74" s="10">
        <v>30</v>
      </c>
      <c r="J74" s="7" t="s">
        <v>19</v>
      </c>
      <c r="K74" s="10">
        <v>20</v>
      </c>
      <c r="L74" s="10">
        <v>20</v>
      </c>
      <c r="M74" s="10">
        <v>45</v>
      </c>
    </row>
    <row r="75" spans="1:13" ht="16.5" customHeight="1" x14ac:dyDescent="0.3">
      <c r="A75" s="7">
        <v>3304</v>
      </c>
      <c r="B75" s="7" t="s">
        <v>102</v>
      </c>
      <c r="C75" s="7" t="s">
        <v>26</v>
      </c>
      <c r="D75" s="9">
        <v>45421</v>
      </c>
      <c r="E75" s="7" t="s">
        <v>23</v>
      </c>
      <c r="F75" s="10">
        <v>10</v>
      </c>
      <c r="G75" s="7" t="s">
        <v>27</v>
      </c>
      <c r="H75" s="7" t="s">
        <v>23</v>
      </c>
      <c r="I75" s="10" t="s">
        <v>310</v>
      </c>
      <c r="J75" s="7" t="s">
        <v>19</v>
      </c>
      <c r="K75" s="10">
        <v>20</v>
      </c>
      <c r="L75" s="10">
        <v>12</v>
      </c>
      <c r="M75" s="10">
        <v>18</v>
      </c>
    </row>
    <row r="76" spans="1:13" ht="16.5" customHeight="1" x14ac:dyDescent="0.3">
      <c r="A76" s="7">
        <v>3305</v>
      </c>
      <c r="B76" s="7" t="s">
        <v>103</v>
      </c>
      <c r="C76" s="7" t="s">
        <v>22</v>
      </c>
      <c r="D76" s="9">
        <v>45422</v>
      </c>
      <c r="E76" s="7" t="s">
        <v>19</v>
      </c>
      <c r="F76" s="10">
        <v>5</v>
      </c>
      <c r="G76" s="7" t="s">
        <v>20</v>
      </c>
      <c r="H76" s="7" t="s">
        <v>23</v>
      </c>
      <c r="I76" s="10" t="s">
        <v>310</v>
      </c>
      <c r="J76" s="7" t="s">
        <v>23</v>
      </c>
      <c r="K76" s="10">
        <v>0</v>
      </c>
      <c r="L76" s="10">
        <v>2</v>
      </c>
      <c r="M76" s="10">
        <v>3</v>
      </c>
    </row>
    <row r="77" spans="1:13" ht="16.5" customHeight="1" x14ac:dyDescent="0.3">
      <c r="A77" s="7">
        <v>3306</v>
      </c>
      <c r="B77" s="7" t="s">
        <v>104</v>
      </c>
      <c r="C77" s="7" t="s">
        <v>18</v>
      </c>
      <c r="D77" s="9">
        <v>45423</v>
      </c>
      <c r="E77" s="7" t="s">
        <v>23</v>
      </c>
      <c r="F77" s="10">
        <v>15</v>
      </c>
      <c r="G77" s="7" t="s">
        <v>24</v>
      </c>
      <c r="H77" s="7" t="s">
        <v>19</v>
      </c>
      <c r="I77" s="10">
        <v>30</v>
      </c>
      <c r="J77" s="7" t="s">
        <v>19</v>
      </c>
      <c r="K77" s="10">
        <v>20</v>
      </c>
      <c r="L77" s="10">
        <v>5</v>
      </c>
      <c r="M77" s="10">
        <v>60</v>
      </c>
    </row>
    <row r="78" spans="1:13" ht="16.5" customHeight="1" x14ac:dyDescent="0.3">
      <c r="A78" s="7">
        <v>3307</v>
      </c>
      <c r="B78" s="7" t="s">
        <v>105</v>
      </c>
      <c r="C78" s="7" t="s">
        <v>26</v>
      </c>
      <c r="D78" s="9">
        <v>45424</v>
      </c>
      <c r="E78" s="7" t="s">
        <v>19</v>
      </c>
      <c r="F78" s="10">
        <v>10</v>
      </c>
      <c r="G78" s="7" t="s">
        <v>20</v>
      </c>
      <c r="H78" s="7" t="s">
        <v>23</v>
      </c>
      <c r="I78" s="10" t="s">
        <v>310</v>
      </c>
      <c r="J78" s="7" t="s">
        <v>19</v>
      </c>
      <c r="K78" s="10">
        <v>20</v>
      </c>
      <c r="L78" s="10">
        <v>10</v>
      </c>
      <c r="M78" s="10">
        <v>20</v>
      </c>
    </row>
    <row r="79" spans="1:13" ht="16.5" customHeight="1" x14ac:dyDescent="0.3">
      <c r="A79" s="7">
        <v>3308</v>
      </c>
      <c r="B79" s="7" t="s">
        <v>106</v>
      </c>
      <c r="C79" s="7" t="s">
        <v>22</v>
      </c>
      <c r="D79" s="9">
        <v>45425</v>
      </c>
      <c r="E79" s="7" t="s">
        <v>23</v>
      </c>
      <c r="F79" s="10">
        <v>5</v>
      </c>
      <c r="G79" s="7" t="s">
        <v>27</v>
      </c>
      <c r="H79" s="7" t="s">
        <v>23</v>
      </c>
      <c r="I79" s="10" t="s">
        <v>310</v>
      </c>
      <c r="J79" s="7" t="s">
        <v>23</v>
      </c>
      <c r="K79" s="10">
        <v>0</v>
      </c>
      <c r="L79" s="10">
        <v>0</v>
      </c>
      <c r="M79" s="10">
        <v>5</v>
      </c>
    </row>
    <row r="80" spans="1:13" ht="16.5" customHeight="1" x14ac:dyDescent="0.3">
      <c r="A80" s="7">
        <v>3309</v>
      </c>
      <c r="B80" s="7" t="s">
        <v>107</v>
      </c>
      <c r="C80" s="7" t="s">
        <v>18</v>
      </c>
      <c r="D80" s="9">
        <v>45426</v>
      </c>
      <c r="E80" s="7" t="s">
        <v>19</v>
      </c>
      <c r="F80" s="10">
        <v>15</v>
      </c>
      <c r="G80" s="7" t="s">
        <v>20</v>
      </c>
      <c r="H80" s="7" t="s">
        <v>19</v>
      </c>
      <c r="I80" s="10">
        <v>30</v>
      </c>
      <c r="J80" s="7" t="s">
        <v>19</v>
      </c>
      <c r="K80" s="10">
        <v>20</v>
      </c>
      <c r="L80" s="10">
        <v>3</v>
      </c>
      <c r="M80" s="10">
        <v>62</v>
      </c>
    </row>
    <row r="81" spans="1:13" ht="16.5" customHeight="1" x14ac:dyDescent="0.3">
      <c r="A81" s="7">
        <v>3310</v>
      </c>
      <c r="B81" s="7" t="s">
        <v>108</v>
      </c>
      <c r="C81" s="7" t="s">
        <v>26</v>
      </c>
      <c r="D81" s="9">
        <v>45427</v>
      </c>
      <c r="E81" s="7" t="s">
        <v>23</v>
      </c>
      <c r="F81" s="10">
        <v>10</v>
      </c>
      <c r="G81" s="7" t="s">
        <v>24</v>
      </c>
      <c r="H81" s="7" t="s">
        <v>23</v>
      </c>
      <c r="I81" s="10" t="s">
        <v>310</v>
      </c>
      <c r="J81" s="7" t="s">
        <v>19</v>
      </c>
      <c r="K81" s="10">
        <v>20</v>
      </c>
      <c r="L81" s="10">
        <v>15</v>
      </c>
      <c r="M81" s="10">
        <v>15</v>
      </c>
    </row>
    <row r="82" spans="1:13" ht="16.5" customHeight="1" x14ac:dyDescent="0.3">
      <c r="A82" s="7">
        <v>3311</v>
      </c>
      <c r="B82" s="7" t="s">
        <v>109</v>
      </c>
      <c r="C82" s="7" t="s">
        <v>22</v>
      </c>
      <c r="D82" s="9">
        <v>45428</v>
      </c>
      <c r="E82" s="7" t="s">
        <v>19</v>
      </c>
      <c r="F82" s="10">
        <v>5</v>
      </c>
      <c r="G82" s="7" t="s">
        <v>20</v>
      </c>
      <c r="H82" s="7" t="s">
        <v>23</v>
      </c>
      <c r="I82" s="10" t="s">
        <v>310</v>
      </c>
      <c r="J82" s="7" t="s">
        <v>23</v>
      </c>
      <c r="K82" s="10">
        <v>0</v>
      </c>
      <c r="L82" s="10">
        <v>1</v>
      </c>
      <c r="M82" s="10">
        <v>4</v>
      </c>
    </row>
    <row r="83" spans="1:13" ht="16.5" customHeight="1" x14ac:dyDescent="0.3">
      <c r="A83" s="7">
        <v>3312</v>
      </c>
      <c r="B83" s="7" t="s">
        <v>110</v>
      </c>
      <c r="C83" s="7" t="s">
        <v>18</v>
      </c>
      <c r="D83" s="9">
        <v>45429</v>
      </c>
      <c r="E83" s="7" t="s">
        <v>23</v>
      </c>
      <c r="F83" s="10">
        <v>15</v>
      </c>
      <c r="G83" s="7" t="s">
        <v>27</v>
      </c>
      <c r="H83" s="7" t="s">
        <v>19</v>
      </c>
      <c r="I83" s="10">
        <v>30</v>
      </c>
      <c r="J83" s="7" t="s">
        <v>19</v>
      </c>
      <c r="K83" s="10">
        <v>20</v>
      </c>
      <c r="L83" s="10">
        <v>7</v>
      </c>
      <c r="M83" s="10">
        <v>58</v>
      </c>
    </row>
    <row r="84" spans="1:13" ht="16.5" customHeight="1" x14ac:dyDescent="0.3">
      <c r="A84" s="7">
        <v>3313</v>
      </c>
      <c r="B84" s="7" t="s">
        <v>111</v>
      </c>
      <c r="C84" s="7" t="s">
        <v>26</v>
      </c>
      <c r="D84" s="9">
        <v>45430</v>
      </c>
      <c r="E84" s="7" t="s">
        <v>19</v>
      </c>
      <c r="F84" s="10">
        <v>10</v>
      </c>
      <c r="G84" s="7" t="s">
        <v>20</v>
      </c>
      <c r="H84" s="7" t="s">
        <v>23</v>
      </c>
      <c r="I84" s="10" t="s">
        <v>310</v>
      </c>
      <c r="J84" s="7" t="s">
        <v>19</v>
      </c>
      <c r="K84" s="10">
        <v>20</v>
      </c>
      <c r="L84" s="10">
        <v>10</v>
      </c>
      <c r="M84" s="10">
        <v>20</v>
      </c>
    </row>
    <row r="85" spans="1:13" ht="16.5" customHeight="1" x14ac:dyDescent="0.3">
      <c r="A85" s="7">
        <v>3314</v>
      </c>
      <c r="B85" s="7" t="s">
        <v>112</v>
      </c>
      <c r="C85" s="7" t="s">
        <v>22</v>
      </c>
      <c r="D85" s="9">
        <v>45431</v>
      </c>
      <c r="E85" s="7" t="s">
        <v>23</v>
      </c>
      <c r="F85" s="10">
        <v>5</v>
      </c>
      <c r="G85" s="7" t="s">
        <v>24</v>
      </c>
      <c r="H85" s="7" t="s">
        <v>23</v>
      </c>
      <c r="I85" s="10" t="s">
        <v>310</v>
      </c>
      <c r="J85" s="7" t="s">
        <v>23</v>
      </c>
      <c r="K85" s="10">
        <v>0</v>
      </c>
      <c r="L85" s="10">
        <v>0</v>
      </c>
      <c r="M85" s="10">
        <v>5</v>
      </c>
    </row>
    <row r="86" spans="1:13" ht="16.5" customHeight="1" x14ac:dyDescent="0.3">
      <c r="A86" s="7">
        <v>3315</v>
      </c>
      <c r="B86" s="7" t="s">
        <v>113</v>
      </c>
      <c r="C86" s="7" t="s">
        <v>18</v>
      </c>
      <c r="D86" s="9">
        <v>45432</v>
      </c>
      <c r="E86" s="7" t="s">
        <v>19</v>
      </c>
      <c r="F86" s="10">
        <v>15</v>
      </c>
      <c r="G86" s="7" t="s">
        <v>20</v>
      </c>
      <c r="H86" s="7" t="s">
        <v>19</v>
      </c>
      <c r="I86" s="10">
        <v>30</v>
      </c>
      <c r="J86" s="7" t="s">
        <v>19</v>
      </c>
      <c r="K86" s="10">
        <v>20</v>
      </c>
      <c r="L86" s="10">
        <v>20</v>
      </c>
      <c r="M86" s="10">
        <v>45</v>
      </c>
    </row>
    <row r="87" spans="1:13" ht="16.5" customHeight="1" x14ac:dyDescent="0.3">
      <c r="A87" s="7">
        <v>3316</v>
      </c>
      <c r="B87" s="7" t="s">
        <v>114</v>
      </c>
      <c r="C87" s="7" t="s">
        <v>26</v>
      </c>
      <c r="D87" s="9">
        <v>45433</v>
      </c>
      <c r="E87" s="7" t="s">
        <v>23</v>
      </c>
      <c r="F87" s="10">
        <v>10</v>
      </c>
      <c r="G87" s="7" t="s">
        <v>27</v>
      </c>
      <c r="H87" s="7" t="s">
        <v>23</v>
      </c>
      <c r="I87" s="10" t="s">
        <v>310</v>
      </c>
      <c r="J87" s="7" t="s">
        <v>19</v>
      </c>
      <c r="K87" s="10">
        <v>20</v>
      </c>
      <c r="L87" s="10">
        <v>15</v>
      </c>
      <c r="M87" s="10">
        <v>15</v>
      </c>
    </row>
    <row r="88" spans="1:13" ht="16.5" customHeight="1" x14ac:dyDescent="0.3">
      <c r="A88" s="7">
        <v>3317</v>
      </c>
      <c r="B88" s="7" t="s">
        <v>115</v>
      </c>
      <c r="C88" s="7" t="s">
        <v>22</v>
      </c>
      <c r="D88" s="9">
        <v>45434</v>
      </c>
      <c r="E88" s="7" t="s">
        <v>19</v>
      </c>
      <c r="F88" s="10">
        <v>5</v>
      </c>
      <c r="G88" s="7" t="s">
        <v>20</v>
      </c>
      <c r="H88" s="7" t="s">
        <v>23</v>
      </c>
      <c r="I88" s="10" t="s">
        <v>310</v>
      </c>
      <c r="J88" s="7" t="s">
        <v>23</v>
      </c>
      <c r="K88" s="10">
        <v>0</v>
      </c>
      <c r="L88" s="10">
        <v>1</v>
      </c>
      <c r="M88" s="10">
        <v>4</v>
      </c>
    </row>
    <row r="89" spans="1:13" ht="16.5" customHeight="1" x14ac:dyDescent="0.3">
      <c r="A89" s="7">
        <v>3318</v>
      </c>
      <c r="B89" s="7" t="s">
        <v>116</v>
      </c>
      <c r="C89" s="7" t="s">
        <v>18</v>
      </c>
      <c r="D89" s="9">
        <v>45435</v>
      </c>
      <c r="E89" s="7" t="s">
        <v>23</v>
      </c>
      <c r="F89" s="10">
        <v>15</v>
      </c>
      <c r="G89" s="7" t="s">
        <v>24</v>
      </c>
      <c r="H89" s="7" t="s">
        <v>19</v>
      </c>
      <c r="I89" s="10">
        <v>30</v>
      </c>
      <c r="J89" s="7" t="s">
        <v>19</v>
      </c>
      <c r="K89" s="10">
        <v>20</v>
      </c>
      <c r="L89" s="10">
        <v>3</v>
      </c>
      <c r="M89" s="10">
        <v>62</v>
      </c>
    </row>
    <row r="90" spans="1:13" ht="16.5" customHeight="1" x14ac:dyDescent="0.3">
      <c r="A90" s="7">
        <v>3319</v>
      </c>
      <c r="B90" s="7" t="s">
        <v>117</v>
      </c>
      <c r="C90" s="7" t="s">
        <v>26</v>
      </c>
      <c r="D90" s="9">
        <v>45436</v>
      </c>
      <c r="E90" s="7" t="s">
        <v>19</v>
      </c>
      <c r="F90" s="10">
        <v>10</v>
      </c>
      <c r="G90" s="7" t="s">
        <v>20</v>
      </c>
      <c r="H90" s="7" t="s">
        <v>23</v>
      </c>
      <c r="I90" s="10" t="s">
        <v>310</v>
      </c>
      <c r="J90" s="7" t="s">
        <v>19</v>
      </c>
      <c r="K90" s="10">
        <v>20</v>
      </c>
      <c r="L90" s="10">
        <v>10</v>
      </c>
      <c r="M90" s="10">
        <v>20</v>
      </c>
    </row>
    <row r="91" spans="1:13" ht="16.5" customHeight="1" x14ac:dyDescent="0.3">
      <c r="A91" s="7">
        <v>3320</v>
      </c>
      <c r="B91" s="7" t="s">
        <v>118</v>
      </c>
      <c r="C91" s="7" t="s">
        <v>22</v>
      </c>
      <c r="D91" s="9">
        <v>45437</v>
      </c>
      <c r="E91" s="7" t="s">
        <v>23</v>
      </c>
      <c r="F91" s="10">
        <v>5</v>
      </c>
      <c r="G91" s="7" t="s">
        <v>27</v>
      </c>
      <c r="H91" s="7" t="s">
        <v>23</v>
      </c>
      <c r="I91" s="10" t="s">
        <v>310</v>
      </c>
      <c r="J91" s="7" t="s">
        <v>23</v>
      </c>
      <c r="K91" s="10">
        <v>0</v>
      </c>
      <c r="L91" s="10">
        <v>0</v>
      </c>
      <c r="M91" s="10">
        <v>5</v>
      </c>
    </row>
    <row r="92" spans="1:13" ht="16.5" customHeight="1" x14ac:dyDescent="0.3">
      <c r="A92" s="7">
        <v>3321</v>
      </c>
      <c r="B92" s="7" t="s">
        <v>119</v>
      </c>
      <c r="C92" s="7" t="s">
        <v>18</v>
      </c>
      <c r="D92" s="9">
        <v>45438</v>
      </c>
      <c r="E92" s="7" t="s">
        <v>19</v>
      </c>
      <c r="F92" s="10">
        <v>15</v>
      </c>
      <c r="G92" s="7" t="s">
        <v>20</v>
      </c>
      <c r="H92" s="7" t="s">
        <v>19</v>
      </c>
      <c r="I92" s="10">
        <v>30</v>
      </c>
      <c r="J92" s="7" t="s">
        <v>19</v>
      </c>
      <c r="K92" s="10">
        <v>20</v>
      </c>
      <c r="L92" s="10">
        <v>5</v>
      </c>
      <c r="M92" s="10">
        <v>60</v>
      </c>
    </row>
    <row r="93" spans="1:13" ht="16.5" customHeight="1" x14ac:dyDescent="0.3">
      <c r="A93" s="7">
        <v>3322</v>
      </c>
      <c r="B93" s="7" t="s">
        <v>120</v>
      </c>
      <c r="C93" s="7" t="s">
        <v>26</v>
      </c>
      <c r="D93" s="9">
        <v>45439</v>
      </c>
      <c r="E93" s="7" t="s">
        <v>23</v>
      </c>
      <c r="F93" s="10">
        <v>10</v>
      </c>
      <c r="G93" s="7" t="s">
        <v>24</v>
      </c>
      <c r="H93" s="7" t="s">
        <v>23</v>
      </c>
      <c r="I93" s="10" t="s">
        <v>310</v>
      </c>
      <c r="J93" s="7" t="s">
        <v>19</v>
      </c>
      <c r="K93" s="10">
        <v>20</v>
      </c>
      <c r="L93" s="10">
        <v>15</v>
      </c>
      <c r="M93" s="10">
        <v>15</v>
      </c>
    </row>
    <row r="94" spans="1:13" ht="16.5" customHeight="1" x14ac:dyDescent="0.3">
      <c r="A94" s="7">
        <v>3323</v>
      </c>
      <c r="B94" s="7" t="s">
        <v>121</v>
      </c>
      <c r="C94" s="7" t="s">
        <v>22</v>
      </c>
      <c r="D94" s="9">
        <v>45440</v>
      </c>
      <c r="E94" s="7" t="s">
        <v>19</v>
      </c>
      <c r="F94" s="10">
        <v>5</v>
      </c>
      <c r="G94" s="7" t="s">
        <v>20</v>
      </c>
      <c r="H94" s="7" t="s">
        <v>23</v>
      </c>
      <c r="I94" s="10" t="s">
        <v>310</v>
      </c>
      <c r="J94" s="7" t="s">
        <v>23</v>
      </c>
      <c r="K94" s="10">
        <v>0</v>
      </c>
      <c r="L94" s="10">
        <v>1</v>
      </c>
      <c r="M94" s="10">
        <v>4</v>
      </c>
    </row>
    <row r="95" spans="1:13" ht="16.5" customHeight="1" x14ac:dyDescent="0.3">
      <c r="A95" s="7">
        <v>3324</v>
      </c>
      <c r="B95" s="7" t="s">
        <v>122</v>
      </c>
      <c r="C95" s="7" t="s">
        <v>18</v>
      </c>
      <c r="D95" s="9">
        <v>45441</v>
      </c>
      <c r="E95" s="7" t="s">
        <v>23</v>
      </c>
      <c r="F95" s="10">
        <v>15</v>
      </c>
      <c r="G95" s="7" t="s">
        <v>27</v>
      </c>
      <c r="H95" s="7" t="s">
        <v>19</v>
      </c>
      <c r="I95" s="10">
        <v>30</v>
      </c>
      <c r="J95" s="7" t="s">
        <v>19</v>
      </c>
      <c r="K95" s="10">
        <v>20</v>
      </c>
      <c r="L95" s="10">
        <v>20</v>
      </c>
      <c r="M95" s="10">
        <v>45</v>
      </c>
    </row>
    <row r="96" spans="1:13" ht="16.5" customHeight="1" x14ac:dyDescent="0.3">
      <c r="A96" s="7">
        <v>3325</v>
      </c>
      <c r="B96" s="7" t="s">
        <v>123</v>
      </c>
      <c r="C96" s="7" t="s">
        <v>26</v>
      </c>
      <c r="D96" s="9">
        <v>45442</v>
      </c>
      <c r="E96" s="7" t="s">
        <v>19</v>
      </c>
      <c r="F96" s="10">
        <v>10</v>
      </c>
      <c r="G96" s="7" t="s">
        <v>27</v>
      </c>
      <c r="H96" s="7" t="s">
        <v>23</v>
      </c>
      <c r="I96" s="10" t="s">
        <v>310</v>
      </c>
      <c r="J96" s="7" t="s">
        <v>19</v>
      </c>
      <c r="K96" s="10">
        <v>20</v>
      </c>
      <c r="L96" s="10">
        <v>15</v>
      </c>
      <c r="M96" s="10">
        <v>15</v>
      </c>
    </row>
    <row r="97" spans="1:13" ht="16.5" customHeight="1" x14ac:dyDescent="0.3">
      <c r="A97" s="7">
        <v>3326</v>
      </c>
      <c r="B97" s="7" t="s">
        <v>124</v>
      </c>
      <c r="C97" s="7" t="s">
        <v>22</v>
      </c>
      <c r="D97" s="9">
        <v>45443</v>
      </c>
      <c r="E97" s="7" t="s">
        <v>23</v>
      </c>
      <c r="F97" s="10">
        <v>5</v>
      </c>
      <c r="G97" s="7" t="s">
        <v>24</v>
      </c>
      <c r="H97" s="7" t="s">
        <v>23</v>
      </c>
      <c r="I97" s="10" t="s">
        <v>310</v>
      </c>
      <c r="J97" s="7" t="s">
        <v>23</v>
      </c>
      <c r="K97" s="10">
        <v>0</v>
      </c>
      <c r="L97" s="10">
        <v>0</v>
      </c>
      <c r="M97" s="10">
        <v>5</v>
      </c>
    </row>
    <row r="98" spans="1:13" ht="16.5" customHeight="1" x14ac:dyDescent="0.3">
      <c r="A98" s="7">
        <v>3327</v>
      </c>
      <c r="B98" s="7" t="s">
        <v>125</v>
      </c>
      <c r="C98" s="7" t="s">
        <v>18</v>
      </c>
      <c r="D98" s="9">
        <v>45444</v>
      </c>
      <c r="E98" s="7" t="s">
        <v>19</v>
      </c>
      <c r="F98" s="10">
        <v>15</v>
      </c>
      <c r="G98" s="7" t="s">
        <v>20</v>
      </c>
      <c r="H98" s="7" t="s">
        <v>19</v>
      </c>
      <c r="I98" s="10">
        <v>30</v>
      </c>
      <c r="J98" s="7" t="s">
        <v>19</v>
      </c>
      <c r="K98" s="10">
        <v>20</v>
      </c>
      <c r="L98" s="10">
        <v>7</v>
      </c>
      <c r="M98" s="10">
        <v>58</v>
      </c>
    </row>
    <row r="99" spans="1:13" ht="16.5" customHeight="1" x14ac:dyDescent="0.3">
      <c r="A99" s="7">
        <v>3328</v>
      </c>
      <c r="B99" s="7" t="s">
        <v>126</v>
      </c>
      <c r="C99" s="7" t="s">
        <v>26</v>
      </c>
      <c r="D99" s="9">
        <v>45445</v>
      </c>
      <c r="E99" s="7" t="s">
        <v>23</v>
      </c>
      <c r="F99" s="10">
        <v>10</v>
      </c>
      <c r="G99" s="7" t="s">
        <v>24</v>
      </c>
      <c r="H99" s="7" t="s">
        <v>23</v>
      </c>
      <c r="I99" s="10" t="s">
        <v>310</v>
      </c>
      <c r="J99" s="7" t="s">
        <v>19</v>
      </c>
      <c r="K99" s="10">
        <v>20</v>
      </c>
      <c r="L99" s="10">
        <v>10</v>
      </c>
      <c r="M99" s="10">
        <v>20</v>
      </c>
    </row>
    <row r="100" spans="1:13" ht="16.5" customHeight="1" x14ac:dyDescent="0.3">
      <c r="A100" s="7">
        <v>3329</v>
      </c>
      <c r="B100" s="7" t="s">
        <v>127</v>
      </c>
      <c r="C100" s="7" t="s">
        <v>22</v>
      </c>
      <c r="D100" s="9">
        <v>45446</v>
      </c>
      <c r="E100" s="7" t="s">
        <v>19</v>
      </c>
      <c r="F100" s="10">
        <v>5</v>
      </c>
      <c r="G100" s="7" t="s">
        <v>27</v>
      </c>
      <c r="H100" s="7" t="s">
        <v>23</v>
      </c>
      <c r="I100" s="10" t="s">
        <v>310</v>
      </c>
      <c r="J100" s="7" t="s">
        <v>23</v>
      </c>
      <c r="K100" s="10">
        <v>0</v>
      </c>
      <c r="L100" s="10">
        <v>1</v>
      </c>
      <c r="M100" s="10">
        <v>4</v>
      </c>
    </row>
    <row r="101" spans="1:13" ht="16.5" customHeight="1" x14ac:dyDescent="0.3">
      <c r="A101" s="7">
        <v>3330</v>
      </c>
      <c r="B101" s="7" t="s">
        <v>128</v>
      </c>
      <c r="C101" s="7" t="s">
        <v>18</v>
      </c>
      <c r="D101" s="9">
        <v>45447</v>
      </c>
      <c r="E101" s="7" t="s">
        <v>23</v>
      </c>
      <c r="F101" s="10">
        <v>15</v>
      </c>
      <c r="G101" s="7" t="s">
        <v>20</v>
      </c>
      <c r="H101" s="7" t="s">
        <v>19</v>
      </c>
      <c r="I101" s="10">
        <v>30</v>
      </c>
      <c r="J101" s="7" t="s">
        <v>19</v>
      </c>
      <c r="K101" s="10">
        <v>20</v>
      </c>
      <c r="L101" s="10">
        <v>15</v>
      </c>
      <c r="M101" s="10">
        <v>50</v>
      </c>
    </row>
    <row r="102" spans="1:13" ht="16.5" customHeight="1" x14ac:dyDescent="0.3">
      <c r="A102" s="7">
        <v>3331</v>
      </c>
      <c r="B102" s="7" t="s">
        <v>129</v>
      </c>
      <c r="C102" s="7" t="s">
        <v>26</v>
      </c>
      <c r="D102" s="9">
        <v>45448</v>
      </c>
      <c r="E102" s="7" t="s">
        <v>19</v>
      </c>
      <c r="F102" s="10">
        <v>10</v>
      </c>
      <c r="G102" s="7" t="s">
        <v>20</v>
      </c>
      <c r="H102" s="7" t="s">
        <v>23</v>
      </c>
      <c r="I102" s="10" t="s">
        <v>310</v>
      </c>
      <c r="J102" s="7" t="s">
        <v>19</v>
      </c>
      <c r="K102" s="10">
        <v>20</v>
      </c>
      <c r="L102" s="10">
        <v>5</v>
      </c>
      <c r="M102" s="10">
        <v>25</v>
      </c>
    </row>
    <row r="103" spans="1:13" ht="16.5" customHeight="1" x14ac:dyDescent="0.3">
      <c r="A103" s="7">
        <v>3332</v>
      </c>
      <c r="B103" s="7" t="s">
        <v>130</v>
      </c>
      <c r="C103" s="7" t="s">
        <v>22</v>
      </c>
      <c r="D103" s="9">
        <v>45449</v>
      </c>
      <c r="E103" s="7" t="s">
        <v>23</v>
      </c>
      <c r="F103" s="10">
        <v>5</v>
      </c>
      <c r="G103" s="7" t="s">
        <v>24</v>
      </c>
      <c r="H103" s="7" t="s">
        <v>23</v>
      </c>
      <c r="I103" s="10" t="s">
        <v>310</v>
      </c>
      <c r="J103" s="7" t="s">
        <v>23</v>
      </c>
      <c r="K103" s="10">
        <v>0</v>
      </c>
      <c r="L103" s="10">
        <v>0</v>
      </c>
      <c r="M103" s="10">
        <v>5</v>
      </c>
    </row>
    <row r="104" spans="1:13" ht="16.5" customHeight="1" x14ac:dyDescent="0.3">
      <c r="A104" s="7">
        <v>3333</v>
      </c>
      <c r="B104" s="7" t="s">
        <v>131</v>
      </c>
      <c r="C104" s="7" t="s">
        <v>18</v>
      </c>
      <c r="D104" s="9">
        <v>45450</v>
      </c>
      <c r="E104" s="7" t="s">
        <v>19</v>
      </c>
      <c r="F104" s="10">
        <v>15</v>
      </c>
      <c r="G104" s="7" t="s">
        <v>27</v>
      </c>
      <c r="H104" s="7" t="s">
        <v>19</v>
      </c>
      <c r="I104" s="10">
        <v>30</v>
      </c>
      <c r="J104" s="7" t="s">
        <v>19</v>
      </c>
      <c r="K104" s="10">
        <v>20</v>
      </c>
      <c r="L104" s="10">
        <v>20</v>
      </c>
      <c r="M104" s="10">
        <v>45</v>
      </c>
    </row>
    <row r="105" spans="1:13" ht="16.5" customHeight="1" x14ac:dyDescent="0.3">
      <c r="A105" s="7">
        <v>3334</v>
      </c>
      <c r="B105" s="7" t="s">
        <v>132</v>
      </c>
      <c r="C105" s="7" t="s">
        <v>26</v>
      </c>
      <c r="D105" s="9">
        <v>45451</v>
      </c>
      <c r="E105" s="7" t="s">
        <v>23</v>
      </c>
      <c r="F105" s="10">
        <v>10</v>
      </c>
      <c r="G105" s="7" t="s">
        <v>27</v>
      </c>
      <c r="H105" s="7" t="s">
        <v>23</v>
      </c>
      <c r="I105" s="10" t="s">
        <v>310</v>
      </c>
      <c r="J105" s="7" t="s">
        <v>19</v>
      </c>
      <c r="K105" s="10">
        <v>20</v>
      </c>
      <c r="L105" s="10">
        <v>12</v>
      </c>
      <c r="M105" s="10">
        <v>18</v>
      </c>
    </row>
    <row r="106" spans="1:13" ht="16.5" customHeight="1" x14ac:dyDescent="0.3">
      <c r="A106" s="7">
        <v>3335</v>
      </c>
      <c r="B106" s="7" t="s">
        <v>133</v>
      </c>
      <c r="C106" s="7" t="s">
        <v>22</v>
      </c>
      <c r="D106" s="9">
        <v>45452</v>
      </c>
      <c r="E106" s="7" t="s">
        <v>19</v>
      </c>
      <c r="F106" s="10">
        <v>5</v>
      </c>
      <c r="G106" s="7" t="s">
        <v>20</v>
      </c>
      <c r="H106" s="7" t="s">
        <v>23</v>
      </c>
      <c r="I106" s="10" t="s">
        <v>310</v>
      </c>
      <c r="J106" s="7" t="s">
        <v>23</v>
      </c>
      <c r="K106" s="10">
        <v>0</v>
      </c>
      <c r="L106" s="10">
        <v>2</v>
      </c>
      <c r="M106" s="10">
        <v>3</v>
      </c>
    </row>
    <row r="107" spans="1:13" ht="16.5" customHeight="1" x14ac:dyDescent="0.3">
      <c r="A107" s="7">
        <v>3336</v>
      </c>
      <c r="B107" s="7" t="s">
        <v>134</v>
      </c>
      <c r="C107" s="7" t="s">
        <v>22</v>
      </c>
      <c r="D107" s="9">
        <v>45453</v>
      </c>
      <c r="E107" s="7" t="s">
        <v>19</v>
      </c>
      <c r="F107" s="10">
        <v>5</v>
      </c>
      <c r="G107" s="7" t="s">
        <v>20</v>
      </c>
      <c r="H107" s="7" t="s">
        <v>23</v>
      </c>
      <c r="I107" s="10" t="s">
        <v>310</v>
      </c>
      <c r="J107" s="7" t="s">
        <v>23</v>
      </c>
      <c r="K107" s="10">
        <v>0</v>
      </c>
      <c r="L107" s="10">
        <v>0</v>
      </c>
      <c r="M107" s="10">
        <v>5</v>
      </c>
    </row>
    <row r="108" spans="1:13" ht="16.5" customHeight="1" x14ac:dyDescent="0.3">
      <c r="A108" s="7">
        <v>3337</v>
      </c>
      <c r="B108" s="7" t="s">
        <v>135</v>
      </c>
      <c r="C108" s="7" t="s">
        <v>18</v>
      </c>
      <c r="D108" s="9">
        <v>45454</v>
      </c>
      <c r="E108" s="7" t="s">
        <v>23</v>
      </c>
      <c r="F108" s="10">
        <v>15</v>
      </c>
      <c r="G108" s="7" t="s">
        <v>27</v>
      </c>
      <c r="H108" s="7" t="s">
        <v>19</v>
      </c>
      <c r="I108" s="10">
        <v>30</v>
      </c>
      <c r="J108" s="7" t="s">
        <v>19</v>
      </c>
      <c r="K108" s="10">
        <v>20</v>
      </c>
      <c r="L108" s="10">
        <v>7</v>
      </c>
      <c r="M108" s="10">
        <v>58</v>
      </c>
    </row>
    <row r="109" spans="1:13" ht="16.5" customHeight="1" x14ac:dyDescent="0.3">
      <c r="A109" s="7">
        <v>3338</v>
      </c>
      <c r="B109" s="7" t="s">
        <v>136</v>
      </c>
      <c r="C109" s="7" t="s">
        <v>26</v>
      </c>
      <c r="D109" s="9">
        <v>45455</v>
      </c>
      <c r="E109" s="7" t="s">
        <v>19</v>
      </c>
      <c r="F109" s="10">
        <v>10</v>
      </c>
      <c r="G109" s="7" t="s">
        <v>24</v>
      </c>
      <c r="H109" s="7" t="s">
        <v>23</v>
      </c>
      <c r="I109" s="10" t="s">
        <v>310</v>
      </c>
      <c r="J109" s="7" t="s">
        <v>19</v>
      </c>
      <c r="K109" s="10">
        <v>20</v>
      </c>
      <c r="L109" s="10">
        <v>10</v>
      </c>
      <c r="M109" s="10">
        <v>20</v>
      </c>
    </row>
    <row r="110" spans="1:13" ht="16.5" customHeight="1" x14ac:dyDescent="0.3">
      <c r="A110" s="7">
        <v>3339</v>
      </c>
      <c r="B110" s="7" t="s">
        <v>137</v>
      </c>
      <c r="C110" s="7" t="s">
        <v>22</v>
      </c>
      <c r="D110" s="9">
        <v>45456</v>
      </c>
      <c r="E110" s="7" t="s">
        <v>23</v>
      </c>
      <c r="F110" s="10">
        <v>5</v>
      </c>
      <c r="G110" s="7" t="s">
        <v>27</v>
      </c>
      <c r="H110" s="7" t="s">
        <v>23</v>
      </c>
      <c r="I110" s="10" t="s">
        <v>310</v>
      </c>
      <c r="J110" s="7" t="s">
        <v>23</v>
      </c>
      <c r="K110" s="10">
        <v>0</v>
      </c>
      <c r="L110" s="10">
        <v>1</v>
      </c>
      <c r="M110" s="10">
        <v>4</v>
      </c>
    </row>
    <row r="111" spans="1:13" ht="16.5" customHeight="1" x14ac:dyDescent="0.3">
      <c r="A111" s="7">
        <v>3340</v>
      </c>
      <c r="B111" s="7" t="s">
        <v>138</v>
      </c>
      <c r="C111" s="7" t="s">
        <v>18</v>
      </c>
      <c r="D111" s="9">
        <v>45457</v>
      </c>
      <c r="E111" s="7" t="s">
        <v>19</v>
      </c>
      <c r="F111" s="10">
        <v>15</v>
      </c>
      <c r="G111" s="7" t="s">
        <v>20</v>
      </c>
      <c r="H111" s="7" t="s">
        <v>19</v>
      </c>
      <c r="I111" s="10">
        <v>30</v>
      </c>
      <c r="J111" s="7" t="s">
        <v>19</v>
      </c>
      <c r="K111" s="10">
        <v>20</v>
      </c>
      <c r="L111" s="10">
        <v>15</v>
      </c>
      <c r="M111" s="10">
        <v>50</v>
      </c>
    </row>
    <row r="112" spans="1:13" ht="16.5" customHeight="1" x14ac:dyDescent="0.3">
      <c r="A112" s="7">
        <v>3341</v>
      </c>
      <c r="B112" s="7" t="s">
        <v>139</v>
      </c>
      <c r="C112" s="7" t="s">
        <v>26</v>
      </c>
      <c r="D112" s="9">
        <v>45458</v>
      </c>
      <c r="E112" s="7" t="s">
        <v>23</v>
      </c>
      <c r="F112" s="10">
        <v>10</v>
      </c>
      <c r="G112" s="7" t="s">
        <v>20</v>
      </c>
      <c r="H112" s="7" t="s">
        <v>23</v>
      </c>
      <c r="I112" s="10" t="s">
        <v>310</v>
      </c>
      <c r="J112" s="7" t="s">
        <v>19</v>
      </c>
      <c r="K112" s="10">
        <v>20</v>
      </c>
      <c r="L112" s="10">
        <v>5</v>
      </c>
      <c r="M112" s="10">
        <v>25</v>
      </c>
    </row>
    <row r="113" spans="1:13" ht="16.5" customHeight="1" x14ac:dyDescent="0.3">
      <c r="A113" s="7">
        <v>3342</v>
      </c>
      <c r="B113" s="7" t="s">
        <v>140</v>
      </c>
      <c r="C113" s="7" t="s">
        <v>22</v>
      </c>
      <c r="D113" s="9">
        <v>45459</v>
      </c>
      <c r="E113" s="7" t="s">
        <v>19</v>
      </c>
      <c r="F113" s="10">
        <v>5</v>
      </c>
      <c r="G113" s="7" t="s">
        <v>24</v>
      </c>
      <c r="H113" s="7" t="s">
        <v>23</v>
      </c>
      <c r="I113" s="10" t="s">
        <v>310</v>
      </c>
      <c r="J113" s="7" t="s">
        <v>23</v>
      </c>
      <c r="K113" s="10">
        <v>0</v>
      </c>
      <c r="L113" s="10">
        <v>0</v>
      </c>
      <c r="M113" s="10">
        <v>5</v>
      </c>
    </row>
    <row r="114" spans="1:13" ht="16.5" customHeight="1" x14ac:dyDescent="0.3">
      <c r="A114" s="7">
        <v>3343</v>
      </c>
      <c r="B114" s="7" t="s">
        <v>141</v>
      </c>
      <c r="C114" s="7" t="s">
        <v>18</v>
      </c>
      <c r="D114" s="9">
        <v>45460</v>
      </c>
      <c r="E114" s="7" t="s">
        <v>23</v>
      </c>
      <c r="F114" s="10">
        <v>15</v>
      </c>
      <c r="G114" s="7" t="s">
        <v>27</v>
      </c>
      <c r="H114" s="7" t="s">
        <v>19</v>
      </c>
      <c r="I114" s="10">
        <v>30</v>
      </c>
      <c r="J114" s="7" t="s">
        <v>19</v>
      </c>
      <c r="K114" s="10">
        <v>20</v>
      </c>
      <c r="L114" s="10">
        <v>20</v>
      </c>
      <c r="M114" s="10">
        <v>45</v>
      </c>
    </row>
    <row r="115" spans="1:13" ht="16.5" customHeight="1" x14ac:dyDescent="0.3">
      <c r="A115" s="7">
        <v>3344</v>
      </c>
      <c r="B115" s="7" t="s">
        <v>142</v>
      </c>
      <c r="C115" s="7" t="s">
        <v>26</v>
      </c>
      <c r="D115" s="9">
        <v>45461</v>
      </c>
      <c r="E115" s="7" t="s">
        <v>19</v>
      </c>
      <c r="F115" s="10">
        <v>10</v>
      </c>
      <c r="G115" s="7" t="s">
        <v>27</v>
      </c>
      <c r="H115" s="7" t="s">
        <v>23</v>
      </c>
      <c r="I115" s="10" t="s">
        <v>310</v>
      </c>
      <c r="J115" s="7" t="s">
        <v>19</v>
      </c>
      <c r="K115" s="10">
        <v>20</v>
      </c>
      <c r="L115" s="10">
        <v>12</v>
      </c>
      <c r="M115" s="10">
        <v>18</v>
      </c>
    </row>
    <row r="116" spans="1:13" ht="16.5" customHeight="1" x14ac:dyDescent="0.3">
      <c r="A116" s="7">
        <v>3345</v>
      </c>
      <c r="B116" s="7" t="s">
        <v>143</v>
      </c>
      <c r="C116" s="7" t="s">
        <v>22</v>
      </c>
      <c r="D116" s="9">
        <v>45462</v>
      </c>
      <c r="E116" s="7" t="s">
        <v>23</v>
      </c>
      <c r="F116" s="10">
        <v>5</v>
      </c>
      <c r="G116" s="7" t="s">
        <v>20</v>
      </c>
      <c r="H116" s="7" t="s">
        <v>23</v>
      </c>
      <c r="I116" s="10" t="s">
        <v>310</v>
      </c>
      <c r="J116" s="7" t="s">
        <v>23</v>
      </c>
      <c r="K116" s="10">
        <v>0</v>
      </c>
      <c r="L116" s="10">
        <v>2</v>
      </c>
      <c r="M116" s="10">
        <v>3</v>
      </c>
    </row>
    <row r="117" spans="1:13" ht="16.5" customHeight="1" x14ac:dyDescent="0.3">
      <c r="A117" s="7">
        <v>3346</v>
      </c>
      <c r="B117" s="7" t="s">
        <v>144</v>
      </c>
      <c r="C117" s="7" t="s">
        <v>18</v>
      </c>
      <c r="D117" s="9">
        <v>45463</v>
      </c>
      <c r="E117" s="7" t="s">
        <v>19</v>
      </c>
      <c r="F117" s="10">
        <v>15</v>
      </c>
      <c r="G117" s="7" t="s">
        <v>24</v>
      </c>
      <c r="H117" s="7" t="s">
        <v>19</v>
      </c>
      <c r="I117" s="10">
        <v>30</v>
      </c>
      <c r="J117" s="7" t="s">
        <v>19</v>
      </c>
      <c r="K117" s="10">
        <v>20</v>
      </c>
      <c r="L117" s="10">
        <v>5</v>
      </c>
      <c r="M117" s="10">
        <v>60</v>
      </c>
    </row>
    <row r="118" spans="1:13" ht="16.5" customHeight="1" x14ac:dyDescent="0.3">
      <c r="A118" s="7">
        <v>3347</v>
      </c>
      <c r="B118" s="7" t="s">
        <v>145</v>
      </c>
      <c r="C118" s="7" t="s">
        <v>26</v>
      </c>
      <c r="D118" s="9">
        <v>45464</v>
      </c>
      <c r="E118" s="7" t="s">
        <v>23</v>
      </c>
      <c r="F118" s="10">
        <v>10</v>
      </c>
      <c r="G118" s="7" t="s">
        <v>20</v>
      </c>
      <c r="H118" s="7" t="s">
        <v>23</v>
      </c>
      <c r="I118" s="10" t="s">
        <v>310</v>
      </c>
      <c r="J118" s="7" t="s">
        <v>19</v>
      </c>
      <c r="K118" s="10">
        <v>20</v>
      </c>
      <c r="L118" s="10">
        <v>10</v>
      </c>
      <c r="M118" s="10">
        <v>20</v>
      </c>
    </row>
    <row r="119" spans="1:13" ht="16.5" customHeight="1" x14ac:dyDescent="0.3">
      <c r="A119" s="7">
        <v>3348</v>
      </c>
      <c r="B119" s="7" t="s">
        <v>146</v>
      </c>
      <c r="C119" s="7" t="s">
        <v>22</v>
      </c>
      <c r="D119" s="9">
        <v>45465</v>
      </c>
      <c r="E119" s="7" t="s">
        <v>19</v>
      </c>
      <c r="F119" s="10">
        <v>5</v>
      </c>
      <c r="G119" s="7" t="s">
        <v>27</v>
      </c>
      <c r="H119" s="7" t="s">
        <v>23</v>
      </c>
      <c r="I119" s="10" t="s">
        <v>310</v>
      </c>
      <c r="J119" s="7" t="s">
        <v>23</v>
      </c>
      <c r="K119" s="10">
        <v>0</v>
      </c>
      <c r="L119" s="10">
        <v>0</v>
      </c>
      <c r="M119" s="10">
        <v>5</v>
      </c>
    </row>
    <row r="120" spans="1:13" ht="16.5" customHeight="1" x14ac:dyDescent="0.3">
      <c r="A120" s="7">
        <v>3349</v>
      </c>
      <c r="B120" s="7" t="s">
        <v>122</v>
      </c>
      <c r="C120" s="7" t="s">
        <v>18</v>
      </c>
      <c r="D120" s="9">
        <v>45466</v>
      </c>
      <c r="E120" s="7" t="s">
        <v>23</v>
      </c>
      <c r="F120" s="10">
        <v>15</v>
      </c>
      <c r="G120" s="7" t="s">
        <v>20</v>
      </c>
      <c r="H120" s="7" t="s">
        <v>19</v>
      </c>
      <c r="I120" s="10">
        <v>30</v>
      </c>
      <c r="J120" s="7" t="s">
        <v>19</v>
      </c>
      <c r="K120" s="10">
        <v>20</v>
      </c>
      <c r="L120" s="10">
        <v>3</v>
      </c>
      <c r="M120" s="10">
        <v>62</v>
      </c>
    </row>
    <row r="121" spans="1:13" ht="16.5" customHeight="1" x14ac:dyDescent="0.3">
      <c r="A121" s="7">
        <v>3350</v>
      </c>
      <c r="B121" s="7" t="s">
        <v>147</v>
      </c>
      <c r="C121" s="7" t="s">
        <v>26</v>
      </c>
      <c r="D121" s="9">
        <v>45467</v>
      </c>
      <c r="E121" s="7" t="s">
        <v>19</v>
      </c>
      <c r="F121" s="10">
        <v>10</v>
      </c>
      <c r="G121" s="7" t="s">
        <v>24</v>
      </c>
      <c r="H121" s="7" t="s">
        <v>23</v>
      </c>
      <c r="I121" s="10" t="s">
        <v>310</v>
      </c>
      <c r="J121" s="7" t="s">
        <v>19</v>
      </c>
      <c r="K121" s="10">
        <v>20</v>
      </c>
      <c r="L121" s="10">
        <v>15</v>
      </c>
      <c r="M121" s="10">
        <v>15</v>
      </c>
    </row>
    <row r="122" spans="1:13" ht="16.5" customHeight="1" x14ac:dyDescent="0.3">
      <c r="A122" s="7">
        <v>3351</v>
      </c>
      <c r="B122" s="7" t="s">
        <v>148</v>
      </c>
      <c r="C122" s="7" t="s">
        <v>22</v>
      </c>
      <c r="D122" s="9">
        <v>45468</v>
      </c>
      <c r="E122" s="7" t="s">
        <v>23</v>
      </c>
      <c r="F122" s="10">
        <v>5</v>
      </c>
      <c r="G122" s="7" t="s">
        <v>20</v>
      </c>
      <c r="H122" s="7" t="s">
        <v>23</v>
      </c>
      <c r="I122" s="10" t="s">
        <v>310</v>
      </c>
      <c r="J122" s="7" t="s">
        <v>23</v>
      </c>
      <c r="K122" s="10">
        <v>0</v>
      </c>
      <c r="L122" s="10">
        <v>1</v>
      </c>
      <c r="M122" s="10">
        <v>4</v>
      </c>
    </row>
    <row r="123" spans="1:13" ht="16.5" customHeight="1" x14ac:dyDescent="0.3">
      <c r="A123" s="7">
        <v>3352</v>
      </c>
      <c r="B123" s="7" t="s">
        <v>149</v>
      </c>
      <c r="C123" s="7" t="s">
        <v>18</v>
      </c>
      <c r="D123" s="9">
        <v>45469</v>
      </c>
      <c r="E123" s="7" t="s">
        <v>19</v>
      </c>
      <c r="F123" s="10">
        <v>15</v>
      </c>
      <c r="G123" s="7" t="s">
        <v>27</v>
      </c>
      <c r="H123" s="7" t="s">
        <v>19</v>
      </c>
      <c r="I123" s="10">
        <v>30</v>
      </c>
      <c r="J123" s="7" t="s">
        <v>19</v>
      </c>
      <c r="K123" s="10">
        <v>20</v>
      </c>
      <c r="L123" s="10">
        <v>7</v>
      </c>
      <c r="M123" s="10">
        <v>58</v>
      </c>
    </row>
    <row r="124" spans="1:13" ht="16.5" customHeight="1" x14ac:dyDescent="0.3">
      <c r="A124" s="7">
        <v>3353</v>
      </c>
      <c r="B124" s="7" t="s">
        <v>150</v>
      </c>
      <c r="C124" s="7" t="s">
        <v>26</v>
      </c>
      <c r="D124" s="9">
        <v>45470</v>
      </c>
      <c r="E124" s="7" t="s">
        <v>23</v>
      </c>
      <c r="F124" s="10">
        <v>10</v>
      </c>
      <c r="G124" s="7" t="s">
        <v>20</v>
      </c>
      <c r="H124" s="7" t="s">
        <v>23</v>
      </c>
      <c r="I124" s="10" t="s">
        <v>310</v>
      </c>
      <c r="J124" s="7" t="s">
        <v>19</v>
      </c>
      <c r="K124" s="10">
        <v>20</v>
      </c>
      <c r="L124" s="10">
        <v>10</v>
      </c>
      <c r="M124" s="10">
        <v>20</v>
      </c>
    </row>
    <row r="125" spans="1:13" ht="16.5" customHeight="1" x14ac:dyDescent="0.3">
      <c r="A125" s="7">
        <v>3354</v>
      </c>
      <c r="B125" s="7" t="s">
        <v>151</v>
      </c>
      <c r="C125" s="7" t="s">
        <v>22</v>
      </c>
      <c r="D125" s="9">
        <v>45471</v>
      </c>
      <c r="E125" s="7" t="s">
        <v>19</v>
      </c>
      <c r="F125" s="10">
        <v>5</v>
      </c>
      <c r="G125" s="7" t="s">
        <v>24</v>
      </c>
      <c r="H125" s="7" t="s">
        <v>23</v>
      </c>
      <c r="I125" s="10" t="s">
        <v>310</v>
      </c>
      <c r="J125" s="7" t="s">
        <v>23</v>
      </c>
      <c r="K125" s="10">
        <v>0</v>
      </c>
      <c r="L125" s="10">
        <v>0</v>
      </c>
      <c r="M125" s="10">
        <v>5</v>
      </c>
    </row>
    <row r="126" spans="1:13" ht="16.5" customHeight="1" x14ac:dyDescent="0.3">
      <c r="A126" s="7">
        <v>3355</v>
      </c>
      <c r="B126" s="7" t="s">
        <v>152</v>
      </c>
      <c r="C126" s="7" t="s">
        <v>18</v>
      </c>
      <c r="D126" s="9">
        <v>45472</v>
      </c>
      <c r="E126" s="7" t="s">
        <v>23</v>
      </c>
      <c r="F126" s="10">
        <v>15</v>
      </c>
      <c r="G126" s="7" t="s">
        <v>20</v>
      </c>
      <c r="H126" s="7" t="s">
        <v>19</v>
      </c>
      <c r="I126" s="10">
        <v>30</v>
      </c>
      <c r="J126" s="7" t="s">
        <v>19</v>
      </c>
      <c r="K126" s="10">
        <v>20</v>
      </c>
      <c r="L126" s="10">
        <v>20</v>
      </c>
      <c r="M126" s="10">
        <v>45</v>
      </c>
    </row>
    <row r="127" spans="1:13" ht="16.5" customHeight="1" x14ac:dyDescent="0.3">
      <c r="A127" s="7">
        <v>3356</v>
      </c>
      <c r="B127" s="7" t="s">
        <v>153</v>
      </c>
      <c r="C127" s="7" t="s">
        <v>26</v>
      </c>
      <c r="D127" s="9">
        <v>45473</v>
      </c>
      <c r="E127" s="7" t="s">
        <v>19</v>
      </c>
      <c r="F127" s="10">
        <v>10</v>
      </c>
      <c r="G127" s="7" t="s">
        <v>27</v>
      </c>
      <c r="H127" s="7" t="s">
        <v>23</v>
      </c>
      <c r="I127" s="10" t="s">
        <v>310</v>
      </c>
      <c r="J127" s="7" t="s">
        <v>19</v>
      </c>
      <c r="K127" s="10">
        <v>20</v>
      </c>
      <c r="L127" s="10">
        <v>15</v>
      </c>
      <c r="M127" s="10">
        <v>15</v>
      </c>
    </row>
    <row r="128" spans="1:13" ht="16.5" customHeight="1" x14ac:dyDescent="0.3">
      <c r="A128" s="7">
        <v>3357</v>
      </c>
      <c r="B128" s="7" t="s">
        <v>79</v>
      </c>
      <c r="C128" s="7" t="s">
        <v>22</v>
      </c>
      <c r="D128" s="9">
        <v>45474</v>
      </c>
      <c r="E128" s="7" t="s">
        <v>23</v>
      </c>
      <c r="F128" s="10">
        <v>5</v>
      </c>
      <c r="G128" s="7" t="s">
        <v>20</v>
      </c>
      <c r="H128" s="7" t="s">
        <v>23</v>
      </c>
      <c r="I128" s="10" t="s">
        <v>310</v>
      </c>
      <c r="J128" s="7" t="s">
        <v>23</v>
      </c>
      <c r="K128" s="10">
        <v>0</v>
      </c>
      <c r="L128" s="10">
        <v>1</v>
      </c>
      <c r="M128" s="10">
        <v>4</v>
      </c>
    </row>
    <row r="129" spans="1:13" ht="16.5" customHeight="1" x14ac:dyDescent="0.3">
      <c r="A129" s="7">
        <v>3358</v>
      </c>
      <c r="B129" s="7" t="s">
        <v>154</v>
      </c>
      <c r="C129" s="7" t="s">
        <v>18</v>
      </c>
      <c r="D129" s="9">
        <v>45475</v>
      </c>
      <c r="E129" s="7" t="s">
        <v>19</v>
      </c>
      <c r="F129" s="10">
        <v>15</v>
      </c>
      <c r="G129" s="7" t="s">
        <v>24</v>
      </c>
      <c r="H129" s="7" t="s">
        <v>19</v>
      </c>
      <c r="I129" s="10">
        <v>30</v>
      </c>
      <c r="J129" s="7" t="s">
        <v>19</v>
      </c>
      <c r="K129" s="10">
        <v>20</v>
      </c>
      <c r="L129" s="10">
        <v>3</v>
      </c>
      <c r="M129" s="10">
        <v>62</v>
      </c>
    </row>
    <row r="130" spans="1:13" ht="16.5" customHeight="1" x14ac:dyDescent="0.3">
      <c r="A130" s="7">
        <v>3359</v>
      </c>
      <c r="B130" s="7" t="s">
        <v>155</v>
      </c>
      <c r="C130" s="7" t="s">
        <v>26</v>
      </c>
      <c r="D130" s="9">
        <v>45476</v>
      </c>
      <c r="E130" s="7" t="s">
        <v>23</v>
      </c>
      <c r="F130" s="10">
        <v>10</v>
      </c>
      <c r="G130" s="7" t="s">
        <v>20</v>
      </c>
      <c r="H130" s="7" t="s">
        <v>23</v>
      </c>
      <c r="I130" s="10" t="s">
        <v>310</v>
      </c>
      <c r="J130" s="7" t="s">
        <v>19</v>
      </c>
      <c r="K130" s="10">
        <v>20</v>
      </c>
      <c r="L130" s="10">
        <v>10</v>
      </c>
      <c r="M130" s="10">
        <v>20</v>
      </c>
    </row>
    <row r="131" spans="1:13" ht="16.5" customHeight="1" x14ac:dyDescent="0.3">
      <c r="A131" s="7">
        <v>3360</v>
      </c>
      <c r="B131" s="7" t="s">
        <v>156</v>
      </c>
      <c r="C131" s="7" t="s">
        <v>22</v>
      </c>
      <c r="D131" s="9">
        <v>45477</v>
      </c>
      <c r="E131" s="7" t="s">
        <v>19</v>
      </c>
      <c r="F131" s="10">
        <v>5</v>
      </c>
      <c r="G131" s="7" t="s">
        <v>27</v>
      </c>
      <c r="H131" s="7" t="s">
        <v>23</v>
      </c>
      <c r="I131" s="10" t="s">
        <v>310</v>
      </c>
      <c r="J131" s="7" t="s">
        <v>23</v>
      </c>
      <c r="K131" s="10">
        <v>0</v>
      </c>
      <c r="L131" s="10">
        <v>0</v>
      </c>
      <c r="M131" s="10">
        <v>5</v>
      </c>
    </row>
    <row r="132" spans="1:13" ht="16.5" customHeight="1" x14ac:dyDescent="0.3">
      <c r="A132" s="7">
        <v>3361</v>
      </c>
      <c r="B132" s="7" t="s">
        <v>157</v>
      </c>
      <c r="C132" s="7" t="s">
        <v>18</v>
      </c>
      <c r="D132" s="9">
        <v>45478</v>
      </c>
      <c r="E132" s="7" t="s">
        <v>23</v>
      </c>
      <c r="F132" s="10">
        <v>15</v>
      </c>
      <c r="G132" s="7" t="s">
        <v>20</v>
      </c>
      <c r="H132" s="7" t="s">
        <v>19</v>
      </c>
      <c r="I132" s="10">
        <v>30</v>
      </c>
      <c r="J132" s="7" t="s">
        <v>19</v>
      </c>
      <c r="K132" s="10">
        <v>20</v>
      </c>
      <c r="L132" s="10">
        <v>15</v>
      </c>
      <c r="M132" s="10">
        <v>50</v>
      </c>
    </row>
    <row r="133" spans="1:13" ht="16.5" customHeight="1" x14ac:dyDescent="0.3">
      <c r="A133" s="7">
        <v>3362</v>
      </c>
      <c r="B133" s="7" t="s">
        <v>158</v>
      </c>
      <c r="C133" s="7" t="s">
        <v>26</v>
      </c>
      <c r="D133" s="9">
        <v>45479</v>
      </c>
      <c r="E133" s="7" t="s">
        <v>19</v>
      </c>
      <c r="F133" s="10">
        <v>10</v>
      </c>
      <c r="G133" s="7" t="s">
        <v>24</v>
      </c>
      <c r="H133" s="7" t="s">
        <v>23</v>
      </c>
      <c r="I133" s="10" t="s">
        <v>310</v>
      </c>
      <c r="J133" s="7" t="s">
        <v>19</v>
      </c>
      <c r="K133" s="10">
        <v>20</v>
      </c>
      <c r="L133" s="10">
        <v>15</v>
      </c>
      <c r="M133" s="10">
        <v>15</v>
      </c>
    </row>
    <row r="134" spans="1:13" ht="16.5" customHeight="1" x14ac:dyDescent="0.3">
      <c r="A134" s="7">
        <v>3363</v>
      </c>
      <c r="B134" s="7" t="s">
        <v>159</v>
      </c>
      <c r="C134" s="7" t="s">
        <v>22</v>
      </c>
      <c r="D134" s="9">
        <v>45480</v>
      </c>
      <c r="E134" s="7" t="s">
        <v>23</v>
      </c>
      <c r="F134" s="10">
        <v>5</v>
      </c>
      <c r="G134" s="7" t="s">
        <v>20</v>
      </c>
      <c r="H134" s="7" t="s">
        <v>23</v>
      </c>
      <c r="I134" s="10" t="s">
        <v>310</v>
      </c>
      <c r="J134" s="7" t="s">
        <v>23</v>
      </c>
      <c r="K134" s="10">
        <v>0</v>
      </c>
      <c r="L134" s="10">
        <v>1</v>
      </c>
      <c r="M134" s="10">
        <v>4</v>
      </c>
    </row>
    <row r="135" spans="1:13" ht="16.5" customHeight="1" x14ac:dyDescent="0.3">
      <c r="A135" s="7">
        <v>3364</v>
      </c>
      <c r="B135" s="7" t="s">
        <v>160</v>
      </c>
      <c r="C135" s="7" t="s">
        <v>18</v>
      </c>
      <c r="D135" s="9">
        <v>45481</v>
      </c>
      <c r="E135" s="7" t="s">
        <v>19</v>
      </c>
      <c r="F135" s="10">
        <v>15</v>
      </c>
      <c r="G135" s="7" t="s">
        <v>27</v>
      </c>
      <c r="H135" s="7" t="s">
        <v>19</v>
      </c>
      <c r="I135" s="10">
        <v>30</v>
      </c>
      <c r="J135" s="7" t="s">
        <v>19</v>
      </c>
      <c r="K135" s="10">
        <v>20</v>
      </c>
      <c r="L135" s="10">
        <v>7</v>
      </c>
      <c r="M135" s="10">
        <v>58</v>
      </c>
    </row>
    <row r="136" spans="1:13" ht="16.5" customHeight="1" x14ac:dyDescent="0.3">
      <c r="A136" s="7">
        <v>3365</v>
      </c>
      <c r="B136" s="7" t="s">
        <v>161</v>
      </c>
      <c r="C136" s="7" t="s">
        <v>26</v>
      </c>
      <c r="D136" s="9">
        <v>45482</v>
      </c>
      <c r="E136" s="7" t="s">
        <v>23</v>
      </c>
      <c r="F136" s="10">
        <v>10</v>
      </c>
      <c r="G136" s="7" t="s">
        <v>20</v>
      </c>
      <c r="H136" s="7" t="s">
        <v>23</v>
      </c>
      <c r="I136" s="10" t="s">
        <v>310</v>
      </c>
      <c r="J136" s="7" t="s">
        <v>19</v>
      </c>
      <c r="K136" s="10">
        <v>20</v>
      </c>
      <c r="L136" s="10">
        <v>10</v>
      </c>
      <c r="M136" s="10">
        <v>20</v>
      </c>
    </row>
    <row r="137" spans="1:13" ht="16.5" customHeight="1" x14ac:dyDescent="0.3">
      <c r="A137" s="7">
        <v>3366</v>
      </c>
      <c r="B137" s="7" t="s">
        <v>162</v>
      </c>
      <c r="C137" s="7" t="s">
        <v>22</v>
      </c>
      <c r="D137" s="9">
        <v>45483</v>
      </c>
      <c r="E137" s="7" t="s">
        <v>19</v>
      </c>
      <c r="F137" s="10">
        <v>5</v>
      </c>
      <c r="G137" s="7" t="s">
        <v>20</v>
      </c>
      <c r="H137" s="7" t="s">
        <v>23</v>
      </c>
      <c r="I137" s="10" t="s">
        <v>310</v>
      </c>
      <c r="J137" s="7" t="s">
        <v>23</v>
      </c>
      <c r="K137" s="10">
        <v>0</v>
      </c>
      <c r="L137" s="10">
        <v>0</v>
      </c>
      <c r="M137" s="10">
        <v>5</v>
      </c>
    </row>
    <row r="138" spans="1:13" ht="16.5" customHeight="1" x14ac:dyDescent="0.3">
      <c r="A138" s="7">
        <v>3367</v>
      </c>
      <c r="B138" s="7" t="s">
        <v>163</v>
      </c>
      <c r="C138" s="7" t="s">
        <v>18</v>
      </c>
      <c r="D138" s="9">
        <v>45484</v>
      </c>
      <c r="E138" s="7" t="s">
        <v>23</v>
      </c>
      <c r="F138" s="10">
        <v>15</v>
      </c>
      <c r="G138" s="7" t="s">
        <v>27</v>
      </c>
      <c r="H138" s="7" t="s">
        <v>19</v>
      </c>
      <c r="I138" s="10">
        <v>30</v>
      </c>
      <c r="J138" s="7" t="s">
        <v>19</v>
      </c>
      <c r="K138" s="10">
        <v>20</v>
      </c>
      <c r="L138" s="10">
        <v>7</v>
      </c>
      <c r="M138" s="10">
        <v>58</v>
      </c>
    </row>
    <row r="139" spans="1:13" ht="16.5" customHeight="1" x14ac:dyDescent="0.3">
      <c r="A139" s="7">
        <v>3368</v>
      </c>
      <c r="B139" s="7" t="s">
        <v>164</v>
      </c>
      <c r="C139" s="7" t="s">
        <v>26</v>
      </c>
      <c r="D139" s="9">
        <v>45485</v>
      </c>
      <c r="E139" s="7" t="s">
        <v>19</v>
      </c>
      <c r="F139" s="10">
        <v>10</v>
      </c>
      <c r="G139" s="7" t="s">
        <v>24</v>
      </c>
      <c r="H139" s="7" t="s">
        <v>23</v>
      </c>
      <c r="I139" s="10" t="s">
        <v>310</v>
      </c>
      <c r="J139" s="7" t="s">
        <v>19</v>
      </c>
      <c r="K139" s="10">
        <v>20</v>
      </c>
      <c r="L139" s="10">
        <v>10</v>
      </c>
      <c r="M139" s="10">
        <v>20</v>
      </c>
    </row>
    <row r="140" spans="1:13" ht="16.5" customHeight="1" x14ac:dyDescent="0.3">
      <c r="A140" s="7">
        <v>3369</v>
      </c>
      <c r="B140" s="7" t="s">
        <v>165</v>
      </c>
      <c r="C140" s="7" t="s">
        <v>22</v>
      </c>
      <c r="D140" s="9">
        <v>45486</v>
      </c>
      <c r="E140" s="7" t="s">
        <v>23</v>
      </c>
      <c r="F140" s="10">
        <v>5</v>
      </c>
      <c r="G140" s="7" t="s">
        <v>27</v>
      </c>
      <c r="H140" s="7" t="s">
        <v>23</v>
      </c>
      <c r="I140" s="10" t="s">
        <v>310</v>
      </c>
      <c r="J140" s="7" t="s">
        <v>23</v>
      </c>
      <c r="K140" s="10">
        <v>0</v>
      </c>
      <c r="L140" s="10">
        <v>1</v>
      </c>
      <c r="M140" s="10">
        <v>4</v>
      </c>
    </row>
    <row r="141" spans="1:13" ht="16.5" customHeight="1" x14ac:dyDescent="0.3">
      <c r="A141" s="7">
        <v>3370</v>
      </c>
      <c r="B141" s="7" t="s">
        <v>166</v>
      </c>
      <c r="C141" s="7" t="s">
        <v>18</v>
      </c>
      <c r="D141" s="9">
        <v>45487</v>
      </c>
      <c r="E141" s="7" t="s">
        <v>19</v>
      </c>
      <c r="F141" s="10">
        <v>15</v>
      </c>
      <c r="G141" s="7" t="s">
        <v>20</v>
      </c>
      <c r="H141" s="7" t="s">
        <v>19</v>
      </c>
      <c r="I141" s="10">
        <v>30</v>
      </c>
      <c r="J141" s="7" t="s">
        <v>19</v>
      </c>
      <c r="K141" s="10">
        <v>20</v>
      </c>
      <c r="L141" s="10">
        <v>15</v>
      </c>
      <c r="M141" s="10">
        <v>50</v>
      </c>
    </row>
    <row r="142" spans="1:13" ht="16.5" customHeight="1" x14ac:dyDescent="0.3">
      <c r="A142" s="7">
        <v>3371</v>
      </c>
      <c r="B142" s="7" t="s">
        <v>167</v>
      </c>
      <c r="C142" s="7" t="s">
        <v>26</v>
      </c>
      <c r="D142" s="9">
        <v>45488</v>
      </c>
      <c r="E142" s="7" t="s">
        <v>23</v>
      </c>
      <c r="F142" s="10">
        <v>10</v>
      </c>
      <c r="G142" s="7" t="s">
        <v>20</v>
      </c>
      <c r="H142" s="7" t="s">
        <v>23</v>
      </c>
      <c r="I142" s="10" t="s">
        <v>310</v>
      </c>
      <c r="J142" s="7" t="s">
        <v>19</v>
      </c>
      <c r="K142" s="10">
        <v>20</v>
      </c>
      <c r="L142" s="10">
        <v>5</v>
      </c>
      <c r="M142" s="10">
        <v>25</v>
      </c>
    </row>
    <row r="143" spans="1:13" ht="16.5" customHeight="1" x14ac:dyDescent="0.3">
      <c r="A143" s="7">
        <v>3372</v>
      </c>
      <c r="B143" s="7" t="s">
        <v>168</v>
      </c>
      <c r="C143" s="7" t="s">
        <v>22</v>
      </c>
      <c r="D143" s="9">
        <v>45489</v>
      </c>
      <c r="E143" s="7" t="s">
        <v>19</v>
      </c>
      <c r="F143" s="10">
        <v>5</v>
      </c>
      <c r="G143" s="7" t="s">
        <v>24</v>
      </c>
      <c r="H143" s="7" t="s">
        <v>23</v>
      </c>
      <c r="I143" s="10" t="s">
        <v>310</v>
      </c>
      <c r="J143" s="7" t="s">
        <v>23</v>
      </c>
      <c r="K143" s="10">
        <v>0</v>
      </c>
      <c r="L143" s="10">
        <v>0</v>
      </c>
      <c r="M143" s="10">
        <v>5</v>
      </c>
    </row>
    <row r="144" spans="1:13" ht="16.5" customHeight="1" x14ac:dyDescent="0.3">
      <c r="A144" s="7">
        <v>3373</v>
      </c>
      <c r="B144" s="7" t="s">
        <v>169</v>
      </c>
      <c r="C144" s="7" t="s">
        <v>18</v>
      </c>
      <c r="D144" s="9">
        <v>45490</v>
      </c>
      <c r="E144" s="7" t="s">
        <v>23</v>
      </c>
      <c r="F144" s="10">
        <v>15</v>
      </c>
      <c r="G144" s="7" t="s">
        <v>27</v>
      </c>
      <c r="H144" s="7" t="s">
        <v>19</v>
      </c>
      <c r="I144" s="10">
        <v>30</v>
      </c>
      <c r="J144" s="7" t="s">
        <v>19</v>
      </c>
      <c r="K144" s="10">
        <v>20</v>
      </c>
      <c r="L144" s="10">
        <v>20</v>
      </c>
      <c r="M144" s="10">
        <v>45</v>
      </c>
    </row>
    <row r="145" spans="1:13" ht="16.5" customHeight="1" x14ac:dyDescent="0.3">
      <c r="A145" s="7">
        <v>3374</v>
      </c>
      <c r="B145" s="7" t="s">
        <v>170</v>
      </c>
      <c r="C145" s="7" t="s">
        <v>26</v>
      </c>
      <c r="D145" s="9">
        <v>45491</v>
      </c>
      <c r="E145" s="7" t="s">
        <v>19</v>
      </c>
      <c r="F145" s="10">
        <v>10</v>
      </c>
      <c r="G145" s="7" t="s">
        <v>27</v>
      </c>
      <c r="H145" s="7" t="s">
        <v>23</v>
      </c>
      <c r="I145" s="10" t="s">
        <v>310</v>
      </c>
      <c r="J145" s="7" t="s">
        <v>19</v>
      </c>
      <c r="K145" s="10">
        <v>20</v>
      </c>
      <c r="L145" s="10">
        <v>12</v>
      </c>
      <c r="M145" s="10">
        <v>18</v>
      </c>
    </row>
    <row r="146" spans="1:13" ht="16.5" customHeight="1" x14ac:dyDescent="0.3">
      <c r="A146" s="7">
        <v>3375</v>
      </c>
      <c r="B146" s="7" t="s">
        <v>171</v>
      </c>
      <c r="C146" s="7" t="s">
        <v>22</v>
      </c>
      <c r="D146" s="9">
        <v>45492</v>
      </c>
      <c r="E146" s="7" t="s">
        <v>23</v>
      </c>
      <c r="F146" s="10">
        <v>5</v>
      </c>
      <c r="G146" s="7" t="s">
        <v>20</v>
      </c>
      <c r="H146" s="7" t="s">
        <v>23</v>
      </c>
      <c r="I146" s="10" t="s">
        <v>310</v>
      </c>
      <c r="J146" s="7" t="s">
        <v>23</v>
      </c>
      <c r="K146" s="10">
        <v>0</v>
      </c>
      <c r="L146" s="10">
        <v>2</v>
      </c>
      <c r="M146" s="10">
        <v>3</v>
      </c>
    </row>
    <row r="147" spans="1:13" ht="16.5" customHeight="1" x14ac:dyDescent="0.3">
      <c r="A147" s="7">
        <v>3376</v>
      </c>
      <c r="B147" s="7" t="s">
        <v>172</v>
      </c>
      <c r="C147" s="7" t="s">
        <v>18</v>
      </c>
      <c r="D147" s="9">
        <v>45493</v>
      </c>
      <c r="E147" s="7" t="s">
        <v>19</v>
      </c>
      <c r="F147" s="10">
        <v>15</v>
      </c>
      <c r="G147" s="7" t="s">
        <v>24</v>
      </c>
      <c r="H147" s="7" t="s">
        <v>19</v>
      </c>
      <c r="I147" s="10">
        <v>30</v>
      </c>
      <c r="J147" s="7" t="s">
        <v>19</v>
      </c>
      <c r="K147" s="10">
        <v>20</v>
      </c>
      <c r="L147" s="10">
        <v>5</v>
      </c>
      <c r="M147" s="10">
        <v>60</v>
      </c>
    </row>
    <row r="148" spans="1:13" ht="16.5" customHeight="1" x14ac:dyDescent="0.3">
      <c r="A148" s="7">
        <v>3377</v>
      </c>
      <c r="B148" s="7" t="s">
        <v>173</v>
      </c>
      <c r="C148" s="7" t="s">
        <v>26</v>
      </c>
      <c r="D148" s="9">
        <v>45494</v>
      </c>
      <c r="E148" s="7" t="s">
        <v>23</v>
      </c>
      <c r="F148" s="10">
        <v>10</v>
      </c>
      <c r="G148" s="7" t="s">
        <v>20</v>
      </c>
      <c r="H148" s="7" t="s">
        <v>23</v>
      </c>
      <c r="I148" s="10" t="s">
        <v>310</v>
      </c>
      <c r="J148" s="7" t="s">
        <v>19</v>
      </c>
      <c r="K148" s="10">
        <v>20</v>
      </c>
      <c r="L148" s="10">
        <v>10</v>
      </c>
      <c r="M148" s="10">
        <v>20</v>
      </c>
    </row>
    <row r="149" spans="1:13" ht="16.5" customHeight="1" x14ac:dyDescent="0.3">
      <c r="A149" s="7">
        <v>3378</v>
      </c>
      <c r="B149" s="7" t="s">
        <v>174</v>
      </c>
      <c r="C149" s="7" t="s">
        <v>22</v>
      </c>
      <c r="D149" s="9">
        <v>45495</v>
      </c>
      <c r="E149" s="7" t="s">
        <v>19</v>
      </c>
      <c r="F149" s="10">
        <v>5</v>
      </c>
      <c r="G149" s="7" t="s">
        <v>27</v>
      </c>
      <c r="H149" s="7" t="s">
        <v>23</v>
      </c>
      <c r="I149" s="10" t="s">
        <v>310</v>
      </c>
      <c r="J149" s="7" t="s">
        <v>23</v>
      </c>
      <c r="K149" s="10">
        <v>0</v>
      </c>
      <c r="L149" s="10">
        <v>0</v>
      </c>
      <c r="M149" s="10">
        <v>5</v>
      </c>
    </row>
    <row r="150" spans="1:13" ht="16.5" customHeight="1" x14ac:dyDescent="0.3">
      <c r="A150" s="7">
        <v>3379</v>
      </c>
      <c r="B150" s="7" t="s">
        <v>175</v>
      </c>
      <c r="C150" s="7" t="s">
        <v>18</v>
      </c>
      <c r="D150" s="9">
        <v>45496</v>
      </c>
      <c r="E150" s="7" t="s">
        <v>23</v>
      </c>
      <c r="F150" s="10">
        <v>15</v>
      </c>
      <c r="G150" s="7" t="s">
        <v>20</v>
      </c>
      <c r="H150" s="7" t="s">
        <v>19</v>
      </c>
      <c r="I150" s="10">
        <v>30</v>
      </c>
      <c r="J150" s="7" t="s">
        <v>19</v>
      </c>
      <c r="K150" s="10">
        <v>20</v>
      </c>
      <c r="L150" s="10">
        <v>3</v>
      </c>
      <c r="M150" s="10">
        <v>62</v>
      </c>
    </row>
    <row r="151" spans="1:13" ht="16.5" customHeight="1" x14ac:dyDescent="0.3">
      <c r="A151" s="7">
        <v>3380</v>
      </c>
      <c r="B151" s="7" t="s">
        <v>176</v>
      </c>
      <c r="C151" s="7" t="s">
        <v>26</v>
      </c>
      <c r="D151" s="9">
        <v>45497</v>
      </c>
      <c r="E151" s="7" t="s">
        <v>19</v>
      </c>
      <c r="F151" s="10">
        <v>10</v>
      </c>
      <c r="G151" s="7" t="s">
        <v>24</v>
      </c>
      <c r="H151" s="7" t="s">
        <v>23</v>
      </c>
      <c r="I151" s="10" t="s">
        <v>310</v>
      </c>
      <c r="J151" s="7" t="s">
        <v>19</v>
      </c>
      <c r="K151" s="10">
        <v>20</v>
      </c>
      <c r="L151" s="10">
        <v>15</v>
      </c>
      <c r="M151" s="10">
        <v>15</v>
      </c>
    </row>
    <row r="152" spans="1:13" ht="16.5" customHeight="1" x14ac:dyDescent="0.3">
      <c r="A152" s="7">
        <v>3381</v>
      </c>
      <c r="B152" s="7" t="s">
        <v>177</v>
      </c>
      <c r="C152" s="7" t="s">
        <v>22</v>
      </c>
      <c r="D152" s="9">
        <v>45498</v>
      </c>
      <c r="E152" s="7" t="s">
        <v>23</v>
      </c>
      <c r="F152" s="10">
        <v>5</v>
      </c>
      <c r="G152" s="7" t="s">
        <v>20</v>
      </c>
      <c r="H152" s="7" t="s">
        <v>23</v>
      </c>
      <c r="I152" s="10" t="s">
        <v>310</v>
      </c>
      <c r="J152" s="7" t="s">
        <v>23</v>
      </c>
      <c r="K152" s="10">
        <v>0</v>
      </c>
      <c r="L152" s="10">
        <v>1</v>
      </c>
      <c r="M152" s="10">
        <v>4</v>
      </c>
    </row>
    <row r="153" spans="1:13" ht="16.5" customHeight="1" x14ac:dyDescent="0.3">
      <c r="A153" s="7">
        <v>3382</v>
      </c>
      <c r="B153" s="7" t="s">
        <v>178</v>
      </c>
      <c r="C153" s="7" t="s">
        <v>18</v>
      </c>
      <c r="D153" s="9">
        <v>45499</v>
      </c>
      <c r="E153" s="7" t="s">
        <v>19</v>
      </c>
      <c r="F153" s="10">
        <v>15</v>
      </c>
      <c r="G153" s="7" t="s">
        <v>27</v>
      </c>
      <c r="H153" s="7" t="s">
        <v>19</v>
      </c>
      <c r="I153" s="10">
        <v>30</v>
      </c>
      <c r="J153" s="7" t="s">
        <v>19</v>
      </c>
      <c r="K153" s="10">
        <v>20</v>
      </c>
      <c r="L153" s="10">
        <v>7</v>
      </c>
      <c r="M153" s="10">
        <v>58</v>
      </c>
    </row>
    <row r="154" spans="1:13" ht="16.5" customHeight="1" x14ac:dyDescent="0.3">
      <c r="A154" s="7">
        <v>3383</v>
      </c>
      <c r="B154" s="7" t="s">
        <v>179</v>
      </c>
      <c r="C154" s="7" t="s">
        <v>26</v>
      </c>
      <c r="D154" s="9">
        <v>45500</v>
      </c>
      <c r="E154" s="7" t="s">
        <v>23</v>
      </c>
      <c r="F154" s="10">
        <v>10</v>
      </c>
      <c r="G154" s="7" t="s">
        <v>20</v>
      </c>
      <c r="H154" s="7" t="s">
        <v>23</v>
      </c>
      <c r="I154" s="10" t="s">
        <v>310</v>
      </c>
      <c r="J154" s="7" t="s">
        <v>19</v>
      </c>
      <c r="K154" s="10">
        <v>20</v>
      </c>
      <c r="L154" s="10">
        <v>10</v>
      </c>
      <c r="M154" s="10">
        <v>20</v>
      </c>
    </row>
    <row r="155" spans="1:13" ht="16.5" customHeight="1" x14ac:dyDescent="0.3">
      <c r="A155" s="7">
        <v>3384</v>
      </c>
      <c r="B155" s="7" t="s">
        <v>180</v>
      </c>
      <c r="C155" s="7" t="s">
        <v>22</v>
      </c>
      <c r="D155" s="9">
        <v>45501</v>
      </c>
      <c r="E155" s="7" t="s">
        <v>19</v>
      </c>
      <c r="F155" s="10">
        <v>5</v>
      </c>
      <c r="G155" s="7" t="s">
        <v>24</v>
      </c>
      <c r="H155" s="7" t="s">
        <v>23</v>
      </c>
      <c r="I155" s="10" t="s">
        <v>310</v>
      </c>
      <c r="J155" s="7" t="s">
        <v>23</v>
      </c>
      <c r="K155" s="10">
        <v>0</v>
      </c>
      <c r="L155" s="10">
        <v>0</v>
      </c>
      <c r="M155" s="10">
        <v>5</v>
      </c>
    </row>
    <row r="156" spans="1:13" ht="16.5" customHeight="1" x14ac:dyDescent="0.3">
      <c r="A156" s="7">
        <v>3385</v>
      </c>
      <c r="B156" s="7" t="s">
        <v>181</v>
      </c>
      <c r="C156" s="7" t="s">
        <v>18</v>
      </c>
      <c r="D156" s="9">
        <v>45502</v>
      </c>
      <c r="E156" s="7" t="s">
        <v>23</v>
      </c>
      <c r="F156" s="10">
        <v>15</v>
      </c>
      <c r="G156" s="7" t="s">
        <v>20</v>
      </c>
      <c r="H156" s="7" t="s">
        <v>19</v>
      </c>
      <c r="I156" s="10">
        <v>30</v>
      </c>
      <c r="J156" s="7" t="s">
        <v>19</v>
      </c>
      <c r="K156" s="10">
        <v>20</v>
      </c>
      <c r="L156" s="10">
        <v>20</v>
      </c>
      <c r="M156" s="10">
        <v>45</v>
      </c>
    </row>
    <row r="157" spans="1:13" ht="16.5" customHeight="1" x14ac:dyDescent="0.3">
      <c r="A157" s="7">
        <v>3386</v>
      </c>
      <c r="B157" s="7" t="s">
        <v>182</v>
      </c>
      <c r="C157" s="7" t="s">
        <v>26</v>
      </c>
      <c r="D157" s="9">
        <v>45503</v>
      </c>
      <c r="E157" s="7" t="s">
        <v>19</v>
      </c>
      <c r="F157" s="10">
        <v>10</v>
      </c>
      <c r="G157" s="7" t="s">
        <v>27</v>
      </c>
      <c r="H157" s="7" t="s">
        <v>23</v>
      </c>
      <c r="I157" s="10" t="s">
        <v>310</v>
      </c>
      <c r="J157" s="7" t="s">
        <v>19</v>
      </c>
      <c r="K157" s="10">
        <v>20</v>
      </c>
      <c r="L157" s="10">
        <v>15</v>
      </c>
      <c r="M157" s="10">
        <v>15</v>
      </c>
    </row>
    <row r="158" spans="1:13" ht="16.5" customHeight="1" x14ac:dyDescent="0.3">
      <c r="A158" s="7">
        <v>3387</v>
      </c>
      <c r="B158" s="7" t="s">
        <v>183</v>
      </c>
      <c r="C158" s="7" t="s">
        <v>22</v>
      </c>
      <c r="D158" s="9">
        <v>45504</v>
      </c>
      <c r="E158" s="7" t="s">
        <v>23</v>
      </c>
      <c r="F158" s="10">
        <v>5</v>
      </c>
      <c r="G158" s="7" t="s">
        <v>20</v>
      </c>
      <c r="H158" s="7" t="s">
        <v>23</v>
      </c>
      <c r="I158" s="10" t="s">
        <v>310</v>
      </c>
      <c r="J158" s="7" t="s">
        <v>23</v>
      </c>
      <c r="K158" s="10">
        <v>0</v>
      </c>
      <c r="L158" s="10">
        <v>1</v>
      </c>
      <c r="M158" s="10">
        <v>4</v>
      </c>
    </row>
    <row r="159" spans="1:13" ht="16.5" customHeight="1" x14ac:dyDescent="0.3">
      <c r="A159" s="7">
        <v>3388</v>
      </c>
      <c r="B159" s="7" t="s">
        <v>184</v>
      </c>
      <c r="C159" s="7" t="s">
        <v>18</v>
      </c>
      <c r="D159" s="9">
        <v>45505</v>
      </c>
      <c r="E159" s="7" t="s">
        <v>19</v>
      </c>
      <c r="F159" s="10">
        <v>15</v>
      </c>
      <c r="G159" s="7" t="s">
        <v>24</v>
      </c>
      <c r="H159" s="7" t="s">
        <v>19</v>
      </c>
      <c r="I159" s="10">
        <v>30</v>
      </c>
      <c r="J159" s="7" t="s">
        <v>19</v>
      </c>
      <c r="K159" s="10">
        <v>20</v>
      </c>
      <c r="L159" s="10">
        <v>3</v>
      </c>
      <c r="M159" s="10">
        <v>62</v>
      </c>
    </row>
    <row r="160" spans="1:13" ht="16.5" customHeight="1" x14ac:dyDescent="0.3">
      <c r="A160" s="7">
        <v>3389</v>
      </c>
      <c r="B160" s="7" t="s">
        <v>185</v>
      </c>
      <c r="C160" s="7" t="s">
        <v>26</v>
      </c>
      <c r="D160" s="9">
        <v>45506</v>
      </c>
      <c r="E160" s="7" t="s">
        <v>23</v>
      </c>
      <c r="F160" s="10">
        <v>10</v>
      </c>
      <c r="G160" s="7" t="s">
        <v>20</v>
      </c>
      <c r="H160" s="7" t="s">
        <v>23</v>
      </c>
      <c r="I160" s="10" t="s">
        <v>310</v>
      </c>
      <c r="J160" s="7" t="s">
        <v>19</v>
      </c>
      <c r="K160" s="10">
        <v>20</v>
      </c>
      <c r="L160" s="10">
        <v>10</v>
      </c>
      <c r="M160" s="10">
        <v>20</v>
      </c>
    </row>
    <row r="161" spans="1:13" ht="16.5" customHeight="1" x14ac:dyDescent="0.3">
      <c r="A161" s="7">
        <v>3390</v>
      </c>
      <c r="B161" s="7" t="s">
        <v>186</v>
      </c>
      <c r="C161" s="7" t="s">
        <v>22</v>
      </c>
      <c r="D161" s="9">
        <v>45507</v>
      </c>
      <c r="E161" s="7" t="s">
        <v>19</v>
      </c>
      <c r="F161" s="10">
        <v>5</v>
      </c>
      <c r="G161" s="7" t="s">
        <v>27</v>
      </c>
      <c r="H161" s="7" t="s">
        <v>23</v>
      </c>
      <c r="I161" s="10" t="s">
        <v>310</v>
      </c>
      <c r="J161" s="7" t="s">
        <v>23</v>
      </c>
      <c r="K161" s="10">
        <v>0</v>
      </c>
      <c r="L161" s="10">
        <v>0</v>
      </c>
      <c r="M161" s="10">
        <v>5</v>
      </c>
    </row>
    <row r="162" spans="1:13" ht="16.5" customHeight="1" x14ac:dyDescent="0.3">
      <c r="A162" s="7">
        <v>3391</v>
      </c>
      <c r="B162" s="7" t="s">
        <v>87</v>
      </c>
      <c r="C162" s="7" t="s">
        <v>18</v>
      </c>
      <c r="D162" s="9">
        <v>45508</v>
      </c>
      <c r="E162" s="7" t="s">
        <v>23</v>
      </c>
      <c r="F162" s="10">
        <v>15</v>
      </c>
      <c r="G162" s="7" t="s">
        <v>20</v>
      </c>
      <c r="H162" s="7" t="s">
        <v>19</v>
      </c>
      <c r="I162" s="10">
        <v>30</v>
      </c>
      <c r="J162" s="7" t="s">
        <v>19</v>
      </c>
      <c r="K162" s="10">
        <v>20</v>
      </c>
      <c r="L162" s="10">
        <v>15</v>
      </c>
      <c r="M162" s="10">
        <v>50</v>
      </c>
    </row>
    <row r="163" spans="1:13" ht="16.5" customHeight="1" x14ac:dyDescent="0.3">
      <c r="A163" s="7">
        <v>3392</v>
      </c>
      <c r="B163" s="7" t="s">
        <v>187</v>
      </c>
      <c r="C163" s="7" t="s">
        <v>26</v>
      </c>
      <c r="D163" s="9">
        <v>45509</v>
      </c>
      <c r="E163" s="7" t="s">
        <v>19</v>
      </c>
      <c r="F163" s="10">
        <v>10</v>
      </c>
      <c r="G163" s="7" t="s">
        <v>24</v>
      </c>
      <c r="H163" s="7" t="s">
        <v>23</v>
      </c>
      <c r="I163" s="10" t="s">
        <v>310</v>
      </c>
      <c r="J163" s="7" t="s">
        <v>19</v>
      </c>
      <c r="K163" s="10">
        <v>20</v>
      </c>
      <c r="L163" s="10">
        <v>15</v>
      </c>
      <c r="M163" s="10">
        <v>15</v>
      </c>
    </row>
    <row r="164" spans="1:13" ht="16.5" customHeight="1" x14ac:dyDescent="0.3">
      <c r="A164" s="7">
        <v>3393</v>
      </c>
      <c r="B164" s="7" t="s">
        <v>188</v>
      </c>
      <c r="C164" s="7" t="s">
        <v>22</v>
      </c>
      <c r="D164" s="9">
        <v>45510</v>
      </c>
      <c r="E164" s="7" t="s">
        <v>23</v>
      </c>
      <c r="F164" s="10">
        <v>5</v>
      </c>
      <c r="G164" s="7" t="s">
        <v>20</v>
      </c>
      <c r="H164" s="7" t="s">
        <v>23</v>
      </c>
      <c r="I164" s="10" t="s">
        <v>310</v>
      </c>
      <c r="J164" s="7" t="s">
        <v>23</v>
      </c>
      <c r="K164" s="10">
        <v>0</v>
      </c>
      <c r="L164" s="10">
        <v>1</v>
      </c>
      <c r="M164" s="10">
        <v>4</v>
      </c>
    </row>
    <row r="165" spans="1:13" ht="16.5" customHeight="1" x14ac:dyDescent="0.3">
      <c r="A165" s="7">
        <v>3394</v>
      </c>
      <c r="B165" s="7" t="s">
        <v>189</v>
      </c>
      <c r="C165" s="7" t="s">
        <v>18</v>
      </c>
      <c r="D165" s="9">
        <v>45511</v>
      </c>
      <c r="E165" s="7" t="s">
        <v>19</v>
      </c>
      <c r="F165" s="10">
        <v>15</v>
      </c>
      <c r="G165" s="7" t="s">
        <v>27</v>
      </c>
      <c r="H165" s="7" t="s">
        <v>19</v>
      </c>
      <c r="I165" s="10">
        <v>30</v>
      </c>
      <c r="J165" s="7" t="s">
        <v>19</v>
      </c>
      <c r="K165" s="10">
        <v>20</v>
      </c>
      <c r="L165" s="10">
        <v>7</v>
      </c>
      <c r="M165" s="10">
        <v>58</v>
      </c>
    </row>
    <row r="166" spans="1:13" ht="16.5" customHeight="1" x14ac:dyDescent="0.3">
      <c r="A166" s="7">
        <v>3395</v>
      </c>
      <c r="B166" s="7" t="s">
        <v>190</v>
      </c>
      <c r="C166" s="7" t="s">
        <v>26</v>
      </c>
      <c r="D166" s="9">
        <v>45512</v>
      </c>
      <c r="E166" s="7" t="s">
        <v>23</v>
      </c>
      <c r="F166" s="10">
        <v>10</v>
      </c>
      <c r="G166" s="7" t="s">
        <v>20</v>
      </c>
      <c r="H166" s="7" t="s">
        <v>23</v>
      </c>
      <c r="I166" s="10" t="s">
        <v>310</v>
      </c>
      <c r="J166" s="7" t="s">
        <v>19</v>
      </c>
      <c r="K166" s="10">
        <v>20</v>
      </c>
      <c r="L166" s="10">
        <v>10</v>
      </c>
      <c r="M166" s="10">
        <v>20</v>
      </c>
    </row>
    <row r="167" spans="1:13" ht="16.5" customHeight="1" x14ac:dyDescent="0.3">
      <c r="A167" s="7">
        <v>3396</v>
      </c>
      <c r="B167" s="7" t="s">
        <v>191</v>
      </c>
      <c r="C167" s="7" t="s">
        <v>22</v>
      </c>
      <c r="D167" s="9">
        <v>45513</v>
      </c>
      <c r="E167" s="7" t="s">
        <v>19</v>
      </c>
      <c r="F167" s="10">
        <v>5</v>
      </c>
      <c r="G167" s="7" t="s">
        <v>24</v>
      </c>
      <c r="H167" s="7" t="s">
        <v>23</v>
      </c>
      <c r="I167" s="10" t="s">
        <v>310</v>
      </c>
      <c r="J167" s="7" t="s">
        <v>23</v>
      </c>
      <c r="K167" s="10">
        <v>0</v>
      </c>
      <c r="L167" s="10">
        <v>0</v>
      </c>
      <c r="M167" s="10">
        <v>5</v>
      </c>
    </row>
    <row r="168" spans="1:13" ht="16.5" customHeight="1" x14ac:dyDescent="0.3">
      <c r="A168" s="7">
        <v>3397</v>
      </c>
      <c r="B168" s="7" t="s">
        <v>119</v>
      </c>
      <c r="C168" s="7" t="s">
        <v>18</v>
      </c>
      <c r="D168" s="9">
        <v>45514</v>
      </c>
      <c r="E168" s="7" t="s">
        <v>23</v>
      </c>
      <c r="F168" s="10">
        <v>15</v>
      </c>
      <c r="G168" s="7" t="s">
        <v>20</v>
      </c>
      <c r="H168" s="7" t="s">
        <v>19</v>
      </c>
      <c r="I168" s="10">
        <v>30</v>
      </c>
      <c r="J168" s="7" t="s">
        <v>19</v>
      </c>
      <c r="K168" s="10">
        <v>20</v>
      </c>
      <c r="L168" s="10">
        <v>20</v>
      </c>
      <c r="M168" s="10">
        <v>45</v>
      </c>
    </row>
    <row r="169" spans="1:13" ht="16.5" customHeight="1" x14ac:dyDescent="0.3">
      <c r="A169" s="7">
        <v>3398</v>
      </c>
      <c r="B169" s="7" t="s">
        <v>192</v>
      </c>
      <c r="C169" s="7" t="s">
        <v>26</v>
      </c>
      <c r="D169" s="9">
        <v>45515</v>
      </c>
      <c r="E169" s="7" t="s">
        <v>19</v>
      </c>
      <c r="F169" s="10">
        <v>10</v>
      </c>
      <c r="G169" s="7" t="s">
        <v>27</v>
      </c>
      <c r="H169" s="7" t="s">
        <v>23</v>
      </c>
      <c r="I169" s="10" t="s">
        <v>310</v>
      </c>
      <c r="J169" s="7" t="s">
        <v>19</v>
      </c>
      <c r="K169" s="10">
        <v>20</v>
      </c>
      <c r="L169" s="10">
        <v>15</v>
      </c>
      <c r="M169" s="10">
        <v>15</v>
      </c>
    </row>
    <row r="170" spans="1:13" ht="16.5" customHeight="1" x14ac:dyDescent="0.3">
      <c r="A170" s="7">
        <v>3399</v>
      </c>
      <c r="B170" s="7" t="s">
        <v>193</v>
      </c>
      <c r="C170" s="7" t="s">
        <v>22</v>
      </c>
      <c r="D170" s="9">
        <v>45516</v>
      </c>
      <c r="E170" s="7" t="s">
        <v>23</v>
      </c>
      <c r="F170" s="10">
        <v>5</v>
      </c>
      <c r="G170" s="7" t="s">
        <v>20</v>
      </c>
      <c r="H170" s="7" t="s">
        <v>23</v>
      </c>
      <c r="I170" s="10" t="s">
        <v>310</v>
      </c>
      <c r="J170" s="7" t="s">
        <v>23</v>
      </c>
      <c r="K170" s="10">
        <v>0</v>
      </c>
      <c r="L170" s="10">
        <v>1</v>
      </c>
      <c r="M170" s="10">
        <v>4</v>
      </c>
    </row>
    <row r="171" spans="1:13" ht="16.5" customHeight="1" x14ac:dyDescent="0.3">
      <c r="A171" s="7">
        <v>3400</v>
      </c>
      <c r="B171" s="7" t="s">
        <v>194</v>
      </c>
      <c r="C171" s="7" t="s">
        <v>18</v>
      </c>
      <c r="D171" s="9">
        <v>45517</v>
      </c>
      <c r="E171" s="7" t="s">
        <v>19</v>
      </c>
      <c r="F171" s="10">
        <v>15</v>
      </c>
      <c r="G171" s="7" t="s">
        <v>24</v>
      </c>
      <c r="H171" s="7" t="s">
        <v>19</v>
      </c>
      <c r="I171" s="10">
        <v>30</v>
      </c>
      <c r="J171" s="7" t="s">
        <v>19</v>
      </c>
      <c r="K171" s="10">
        <v>20</v>
      </c>
      <c r="L171" s="10">
        <v>5</v>
      </c>
      <c r="M171" s="10">
        <v>60</v>
      </c>
    </row>
    <row r="172" spans="1:13" ht="16.5" customHeight="1" x14ac:dyDescent="0.3">
      <c r="A172" s="7">
        <v>3401</v>
      </c>
      <c r="B172" s="7" t="s">
        <v>195</v>
      </c>
      <c r="C172" s="7" t="s">
        <v>26</v>
      </c>
      <c r="D172" s="9">
        <v>45518</v>
      </c>
      <c r="E172" s="7" t="s">
        <v>23</v>
      </c>
      <c r="F172" s="10">
        <v>10</v>
      </c>
      <c r="G172" s="7" t="s">
        <v>20</v>
      </c>
      <c r="H172" s="7" t="s">
        <v>23</v>
      </c>
      <c r="I172" s="10" t="s">
        <v>310</v>
      </c>
      <c r="J172" s="7" t="s">
        <v>19</v>
      </c>
      <c r="K172" s="10">
        <v>20</v>
      </c>
      <c r="L172" s="10">
        <v>10</v>
      </c>
      <c r="M172" s="10">
        <v>20</v>
      </c>
    </row>
    <row r="173" spans="1:13" ht="16.5" customHeight="1" x14ac:dyDescent="0.3">
      <c r="A173" s="7">
        <v>3402</v>
      </c>
      <c r="B173" s="7" t="s">
        <v>196</v>
      </c>
      <c r="C173" s="7" t="s">
        <v>22</v>
      </c>
      <c r="D173" s="9">
        <v>45519</v>
      </c>
      <c r="E173" s="7" t="s">
        <v>19</v>
      </c>
      <c r="F173" s="10">
        <v>5</v>
      </c>
      <c r="G173" s="7" t="s">
        <v>27</v>
      </c>
      <c r="H173" s="7" t="s">
        <v>23</v>
      </c>
      <c r="I173" s="10" t="s">
        <v>310</v>
      </c>
      <c r="J173" s="7" t="s">
        <v>23</v>
      </c>
      <c r="K173" s="10">
        <v>0</v>
      </c>
      <c r="L173" s="10">
        <v>0</v>
      </c>
      <c r="M173" s="10">
        <v>5</v>
      </c>
    </row>
    <row r="174" spans="1:13" ht="16.5" customHeight="1" x14ac:dyDescent="0.3">
      <c r="A174" s="7">
        <v>3403</v>
      </c>
      <c r="B174" s="7" t="s">
        <v>197</v>
      </c>
      <c r="C174" s="7" t="s">
        <v>18</v>
      </c>
      <c r="D174" s="9">
        <v>45520</v>
      </c>
      <c r="E174" s="7" t="s">
        <v>23</v>
      </c>
      <c r="F174" s="10">
        <v>15</v>
      </c>
      <c r="G174" s="7" t="s">
        <v>20</v>
      </c>
      <c r="H174" s="7" t="s">
        <v>19</v>
      </c>
      <c r="I174" s="10">
        <v>30</v>
      </c>
      <c r="J174" s="7" t="s">
        <v>19</v>
      </c>
      <c r="K174" s="10">
        <v>20</v>
      </c>
      <c r="L174" s="10">
        <v>3</v>
      </c>
      <c r="M174" s="10">
        <v>62</v>
      </c>
    </row>
    <row r="175" spans="1:13" ht="16.5" customHeight="1" x14ac:dyDescent="0.3">
      <c r="A175" s="7">
        <v>3404</v>
      </c>
      <c r="B175" s="7" t="s">
        <v>198</v>
      </c>
      <c r="C175" s="7" t="s">
        <v>26</v>
      </c>
      <c r="D175" s="9">
        <v>45521</v>
      </c>
      <c r="E175" s="7" t="s">
        <v>19</v>
      </c>
      <c r="F175" s="10">
        <v>10</v>
      </c>
      <c r="G175" s="7" t="s">
        <v>24</v>
      </c>
      <c r="H175" s="7" t="s">
        <v>23</v>
      </c>
      <c r="I175" s="10" t="s">
        <v>310</v>
      </c>
      <c r="J175" s="7" t="s">
        <v>19</v>
      </c>
      <c r="K175" s="10">
        <v>20</v>
      </c>
      <c r="L175" s="10">
        <v>15</v>
      </c>
      <c r="M175" s="10">
        <v>15</v>
      </c>
    </row>
    <row r="176" spans="1:13" ht="16.5" customHeight="1" x14ac:dyDescent="0.3">
      <c r="A176" s="7">
        <v>3405</v>
      </c>
      <c r="B176" s="7" t="s">
        <v>199</v>
      </c>
      <c r="C176" s="7" t="s">
        <v>22</v>
      </c>
      <c r="D176" s="9">
        <v>45522</v>
      </c>
      <c r="E176" s="7" t="s">
        <v>23</v>
      </c>
      <c r="F176" s="10">
        <v>5</v>
      </c>
      <c r="G176" s="7" t="s">
        <v>20</v>
      </c>
      <c r="H176" s="7" t="s">
        <v>23</v>
      </c>
      <c r="I176" s="10" t="s">
        <v>310</v>
      </c>
      <c r="J176" s="7" t="s">
        <v>23</v>
      </c>
      <c r="K176" s="10">
        <v>0</v>
      </c>
      <c r="L176" s="10">
        <v>1</v>
      </c>
      <c r="M176" s="10">
        <v>4</v>
      </c>
    </row>
    <row r="177" spans="1:13" ht="16.5" customHeight="1" x14ac:dyDescent="0.3">
      <c r="A177" s="7">
        <v>3406</v>
      </c>
      <c r="B177" s="7" t="s">
        <v>200</v>
      </c>
      <c r="C177" s="7" t="s">
        <v>22</v>
      </c>
      <c r="D177" s="9">
        <v>45523</v>
      </c>
      <c r="E177" s="7" t="s">
        <v>19</v>
      </c>
      <c r="F177" s="10">
        <v>5</v>
      </c>
      <c r="G177" s="7" t="s">
        <v>20</v>
      </c>
      <c r="H177" s="7" t="s">
        <v>23</v>
      </c>
      <c r="I177" s="10" t="s">
        <v>310</v>
      </c>
      <c r="J177" s="7" t="s">
        <v>23</v>
      </c>
      <c r="K177" s="10">
        <v>0</v>
      </c>
      <c r="L177" s="10">
        <v>0</v>
      </c>
      <c r="M177" s="10">
        <v>5</v>
      </c>
    </row>
    <row r="178" spans="1:13" ht="16.5" customHeight="1" x14ac:dyDescent="0.3">
      <c r="A178" s="7">
        <v>3407</v>
      </c>
      <c r="B178" s="7" t="s">
        <v>201</v>
      </c>
      <c r="C178" s="7" t="s">
        <v>18</v>
      </c>
      <c r="D178" s="9">
        <v>45524</v>
      </c>
      <c r="E178" s="7" t="s">
        <v>23</v>
      </c>
      <c r="F178" s="10">
        <v>15</v>
      </c>
      <c r="G178" s="7" t="s">
        <v>27</v>
      </c>
      <c r="H178" s="7" t="s">
        <v>19</v>
      </c>
      <c r="I178" s="10">
        <v>30</v>
      </c>
      <c r="J178" s="7" t="s">
        <v>19</v>
      </c>
      <c r="K178" s="10">
        <v>20</v>
      </c>
      <c r="L178" s="10">
        <v>7</v>
      </c>
      <c r="M178" s="10">
        <v>58</v>
      </c>
    </row>
    <row r="179" spans="1:13" ht="16.5" customHeight="1" x14ac:dyDescent="0.3">
      <c r="A179" s="7">
        <v>3408</v>
      </c>
      <c r="B179" s="7" t="s">
        <v>202</v>
      </c>
      <c r="C179" s="7" t="s">
        <v>26</v>
      </c>
      <c r="D179" s="9">
        <v>45525</v>
      </c>
      <c r="E179" s="7" t="s">
        <v>19</v>
      </c>
      <c r="F179" s="10">
        <v>10</v>
      </c>
      <c r="G179" s="7" t="s">
        <v>24</v>
      </c>
      <c r="H179" s="7" t="s">
        <v>23</v>
      </c>
      <c r="I179" s="10" t="s">
        <v>310</v>
      </c>
      <c r="J179" s="7" t="s">
        <v>19</v>
      </c>
      <c r="K179" s="10">
        <v>20</v>
      </c>
      <c r="L179" s="10">
        <v>10</v>
      </c>
      <c r="M179" s="10">
        <v>20</v>
      </c>
    </row>
    <row r="180" spans="1:13" ht="16.5" customHeight="1" x14ac:dyDescent="0.3">
      <c r="A180" s="7">
        <v>3409</v>
      </c>
      <c r="B180" s="7" t="s">
        <v>203</v>
      </c>
      <c r="C180" s="7" t="s">
        <v>22</v>
      </c>
      <c r="D180" s="9">
        <v>45526</v>
      </c>
      <c r="E180" s="7" t="s">
        <v>23</v>
      </c>
      <c r="F180" s="10">
        <v>5</v>
      </c>
      <c r="G180" s="7" t="s">
        <v>27</v>
      </c>
      <c r="H180" s="7" t="s">
        <v>23</v>
      </c>
      <c r="I180" s="10" t="s">
        <v>310</v>
      </c>
      <c r="J180" s="7" t="s">
        <v>23</v>
      </c>
      <c r="K180" s="10">
        <v>0</v>
      </c>
      <c r="L180" s="10">
        <v>1</v>
      </c>
      <c r="M180" s="10">
        <v>4</v>
      </c>
    </row>
    <row r="181" spans="1:13" ht="16.5" customHeight="1" x14ac:dyDescent="0.3">
      <c r="A181" s="7">
        <v>3410</v>
      </c>
      <c r="B181" s="7" t="s">
        <v>204</v>
      </c>
      <c r="C181" s="7" t="s">
        <v>18</v>
      </c>
      <c r="D181" s="9">
        <v>45527</v>
      </c>
      <c r="E181" s="7" t="s">
        <v>19</v>
      </c>
      <c r="F181" s="10">
        <v>15</v>
      </c>
      <c r="G181" s="7" t="s">
        <v>20</v>
      </c>
      <c r="H181" s="7" t="s">
        <v>19</v>
      </c>
      <c r="I181" s="10">
        <v>30</v>
      </c>
      <c r="J181" s="7" t="s">
        <v>19</v>
      </c>
      <c r="K181" s="10">
        <v>20</v>
      </c>
      <c r="L181" s="10">
        <v>15</v>
      </c>
      <c r="M181" s="10">
        <v>50</v>
      </c>
    </row>
    <row r="182" spans="1:13" ht="16.5" customHeight="1" x14ac:dyDescent="0.3">
      <c r="A182" s="7">
        <v>3411</v>
      </c>
      <c r="B182" s="7" t="s">
        <v>205</v>
      </c>
      <c r="C182" s="7" t="s">
        <v>26</v>
      </c>
      <c r="D182" s="9">
        <v>45528</v>
      </c>
      <c r="E182" s="7" t="s">
        <v>23</v>
      </c>
      <c r="F182" s="10">
        <v>10</v>
      </c>
      <c r="G182" s="7" t="s">
        <v>20</v>
      </c>
      <c r="H182" s="7" t="s">
        <v>23</v>
      </c>
      <c r="I182" s="10" t="s">
        <v>310</v>
      </c>
      <c r="J182" s="7" t="s">
        <v>19</v>
      </c>
      <c r="K182" s="10">
        <v>20</v>
      </c>
      <c r="L182" s="10">
        <v>5</v>
      </c>
      <c r="M182" s="10">
        <v>25</v>
      </c>
    </row>
    <row r="183" spans="1:13" ht="16.5" customHeight="1" x14ac:dyDescent="0.3">
      <c r="A183" s="7">
        <v>3412</v>
      </c>
      <c r="B183" s="7" t="s">
        <v>206</v>
      </c>
      <c r="C183" s="7" t="s">
        <v>22</v>
      </c>
      <c r="D183" s="9">
        <v>45529</v>
      </c>
      <c r="E183" s="7" t="s">
        <v>19</v>
      </c>
      <c r="F183" s="10">
        <v>5</v>
      </c>
      <c r="G183" s="7" t="s">
        <v>24</v>
      </c>
      <c r="H183" s="7" t="s">
        <v>23</v>
      </c>
      <c r="I183" s="10" t="s">
        <v>310</v>
      </c>
      <c r="J183" s="7" t="s">
        <v>23</v>
      </c>
      <c r="K183" s="10">
        <v>0</v>
      </c>
      <c r="L183" s="10">
        <v>0</v>
      </c>
      <c r="M183" s="10">
        <v>5</v>
      </c>
    </row>
    <row r="184" spans="1:13" ht="16.5" customHeight="1" x14ac:dyDescent="0.3">
      <c r="A184" s="7">
        <v>3413</v>
      </c>
      <c r="B184" s="7" t="s">
        <v>207</v>
      </c>
      <c r="C184" s="7" t="s">
        <v>18</v>
      </c>
      <c r="D184" s="9">
        <v>45530</v>
      </c>
      <c r="E184" s="7" t="s">
        <v>23</v>
      </c>
      <c r="F184" s="10">
        <v>15</v>
      </c>
      <c r="G184" s="7" t="s">
        <v>27</v>
      </c>
      <c r="H184" s="7" t="s">
        <v>19</v>
      </c>
      <c r="I184" s="10">
        <v>30</v>
      </c>
      <c r="J184" s="7" t="s">
        <v>19</v>
      </c>
      <c r="K184" s="10">
        <v>20</v>
      </c>
      <c r="L184" s="10">
        <v>20</v>
      </c>
      <c r="M184" s="10">
        <v>45</v>
      </c>
    </row>
    <row r="185" spans="1:13" ht="16.5" customHeight="1" x14ac:dyDescent="0.3">
      <c r="A185" s="7">
        <v>3414</v>
      </c>
      <c r="B185" s="7" t="s">
        <v>208</v>
      </c>
      <c r="C185" s="7" t="s">
        <v>26</v>
      </c>
      <c r="D185" s="9">
        <v>45531</v>
      </c>
      <c r="E185" s="7" t="s">
        <v>19</v>
      </c>
      <c r="F185" s="10">
        <v>10</v>
      </c>
      <c r="G185" s="7" t="s">
        <v>27</v>
      </c>
      <c r="H185" s="7" t="s">
        <v>23</v>
      </c>
      <c r="I185" s="10" t="s">
        <v>310</v>
      </c>
      <c r="J185" s="7" t="s">
        <v>19</v>
      </c>
      <c r="K185" s="10">
        <v>20</v>
      </c>
      <c r="L185" s="10">
        <v>12</v>
      </c>
      <c r="M185" s="10">
        <v>18</v>
      </c>
    </row>
    <row r="186" spans="1:13" ht="16.5" customHeight="1" x14ac:dyDescent="0.3">
      <c r="A186" s="7">
        <v>3415</v>
      </c>
      <c r="B186" s="7" t="s">
        <v>209</v>
      </c>
      <c r="C186" s="7" t="s">
        <v>22</v>
      </c>
      <c r="D186" s="9">
        <v>45532</v>
      </c>
      <c r="E186" s="7" t="s">
        <v>23</v>
      </c>
      <c r="F186" s="10">
        <v>5</v>
      </c>
      <c r="G186" s="7" t="s">
        <v>20</v>
      </c>
      <c r="H186" s="7" t="s">
        <v>23</v>
      </c>
      <c r="I186" s="10" t="s">
        <v>310</v>
      </c>
      <c r="J186" s="7" t="s">
        <v>23</v>
      </c>
      <c r="K186" s="10">
        <v>0</v>
      </c>
      <c r="L186" s="10">
        <v>2</v>
      </c>
      <c r="M186" s="10">
        <v>3</v>
      </c>
    </row>
    <row r="187" spans="1:13" ht="16.5" customHeight="1" x14ac:dyDescent="0.3">
      <c r="A187" s="7">
        <v>3416</v>
      </c>
      <c r="B187" s="7" t="s">
        <v>210</v>
      </c>
      <c r="C187" s="7" t="s">
        <v>18</v>
      </c>
      <c r="D187" s="9">
        <v>45533</v>
      </c>
      <c r="E187" s="7" t="s">
        <v>19</v>
      </c>
      <c r="F187" s="10">
        <v>15</v>
      </c>
      <c r="G187" s="7" t="s">
        <v>24</v>
      </c>
      <c r="H187" s="7" t="s">
        <v>19</v>
      </c>
      <c r="I187" s="10">
        <v>30</v>
      </c>
      <c r="J187" s="7" t="s">
        <v>19</v>
      </c>
      <c r="K187" s="10">
        <v>20</v>
      </c>
      <c r="L187" s="10">
        <v>5</v>
      </c>
      <c r="M187" s="10">
        <v>60</v>
      </c>
    </row>
    <row r="188" spans="1:13" ht="16.5" customHeight="1" x14ac:dyDescent="0.3">
      <c r="A188" s="7">
        <v>3417</v>
      </c>
      <c r="B188" s="7" t="s">
        <v>211</v>
      </c>
      <c r="C188" s="7" t="s">
        <v>26</v>
      </c>
      <c r="D188" s="9">
        <v>45534</v>
      </c>
      <c r="E188" s="7" t="s">
        <v>23</v>
      </c>
      <c r="F188" s="10">
        <v>10</v>
      </c>
      <c r="G188" s="7" t="s">
        <v>20</v>
      </c>
      <c r="H188" s="7" t="s">
        <v>23</v>
      </c>
      <c r="I188" s="10" t="s">
        <v>310</v>
      </c>
      <c r="J188" s="7" t="s">
        <v>19</v>
      </c>
      <c r="K188" s="10">
        <v>20</v>
      </c>
      <c r="L188" s="10">
        <v>10</v>
      </c>
      <c r="M188" s="10">
        <v>20</v>
      </c>
    </row>
    <row r="189" spans="1:13" ht="16.5" customHeight="1" x14ac:dyDescent="0.3">
      <c r="A189" s="7">
        <v>3418</v>
      </c>
      <c r="B189" s="7" t="s">
        <v>212</v>
      </c>
      <c r="C189" s="7" t="s">
        <v>22</v>
      </c>
      <c r="D189" s="9">
        <v>45535</v>
      </c>
      <c r="E189" s="7" t="s">
        <v>19</v>
      </c>
      <c r="F189" s="10">
        <v>5</v>
      </c>
      <c r="G189" s="7" t="s">
        <v>27</v>
      </c>
      <c r="H189" s="7" t="s">
        <v>23</v>
      </c>
      <c r="I189" s="10" t="s">
        <v>310</v>
      </c>
      <c r="J189" s="7" t="s">
        <v>23</v>
      </c>
      <c r="K189" s="10">
        <v>0</v>
      </c>
      <c r="L189" s="10">
        <v>0</v>
      </c>
      <c r="M189" s="10">
        <v>5</v>
      </c>
    </row>
    <row r="190" spans="1:13" ht="16.5" customHeight="1" x14ac:dyDescent="0.3">
      <c r="A190" s="7">
        <v>3419</v>
      </c>
      <c r="B190" s="7" t="s">
        <v>213</v>
      </c>
      <c r="C190" s="7" t="s">
        <v>18</v>
      </c>
      <c r="D190" s="9">
        <v>45536</v>
      </c>
      <c r="E190" s="7" t="s">
        <v>23</v>
      </c>
      <c r="F190" s="10">
        <v>15</v>
      </c>
      <c r="G190" s="7" t="s">
        <v>20</v>
      </c>
      <c r="H190" s="7" t="s">
        <v>19</v>
      </c>
      <c r="I190" s="10">
        <v>30</v>
      </c>
      <c r="J190" s="7" t="s">
        <v>19</v>
      </c>
      <c r="K190" s="10">
        <v>20</v>
      </c>
      <c r="L190" s="10">
        <v>3</v>
      </c>
      <c r="M190" s="10">
        <v>62</v>
      </c>
    </row>
    <row r="191" spans="1:13" ht="16.5" customHeight="1" x14ac:dyDescent="0.3">
      <c r="A191" s="7">
        <v>3420</v>
      </c>
      <c r="B191" s="7" t="s">
        <v>214</v>
      </c>
      <c r="C191" s="7" t="s">
        <v>26</v>
      </c>
      <c r="D191" s="9">
        <v>45537</v>
      </c>
      <c r="E191" s="7" t="s">
        <v>19</v>
      </c>
      <c r="F191" s="10">
        <v>10</v>
      </c>
      <c r="G191" s="7" t="s">
        <v>24</v>
      </c>
      <c r="H191" s="7" t="s">
        <v>23</v>
      </c>
      <c r="I191" s="10" t="s">
        <v>310</v>
      </c>
      <c r="J191" s="7" t="s">
        <v>19</v>
      </c>
      <c r="K191" s="10">
        <v>20</v>
      </c>
      <c r="L191" s="10">
        <v>15</v>
      </c>
      <c r="M191" s="10">
        <v>15</v>
      </c>
    </row>
    <row r="192" spans="1:13" ht="16.5" customHeight="1" x14ac:dyDescent="0.3">
      <c r="A192" s="7">
        <v>3421</v>
      </c>
      <c r="B192" s="7" t="s">
        <v>44</v>
      </c>
      <c r="C192" s="7" t="s">
        <v>22</v>
      </c>
      <c r="D192" s="9">
        <v>45538</v>
      </c>
      <c r="E192" s="7" t="s">
        <v>23</v>
      </c>
      <c r="F192" s="10">
        <v>5</v>
      </c>
      <c r="G192" s="7" t="s">
        <v>20</v>
      </c>
      <c r="H192" s="7" t="s">
        <v>23</v>
      </c>
      <c r="I192" s="10" t="s">
        <v>310</v>
      </c>
      <c r="J192" s="7" t="s">
        <v>23</v>
      </c>
      <c r="K192" s="10">
        <v>0</v>
      </c>
      <c r="L192" s="10">
        <v>1</v>
      </c>
      <c r="M192" s="10">
        <v>4</v>
      </c>
    </row>
    <row r="193" spans="1:13" ht="16.5" customHeight="1" x14ac:dyDescent="0.3">
      <c r="A193" s="7">
        <v>3422</v>
      </c>
      <c r="B193" s="7" t="s">
        <v>215</v>
      </c>
      <c r="C193" s="7" t="s">
        <v>18</v>
      </c>
      <c r="D193" s="9">
        <v>45539</v>
      </c>
      <c r="E193" s="7" t="s">
        <v>19</v>
      </c>
      <c r="F193" s="10">
        <v>15</v>
      </c>
      <c r="G193" s="7" t="s">
        <v>27</v>
      </c>
      <c r="H193" s="7" t="s">
        <v>19</v>
      </c>
      <c r="I193" s="10">
        <v>30</v>
      </c>
      <c r="J193" s="7" t="s">
        <v>19</v>
      </c>
      <c r="K193" s="10">
        <v>20</v>
      </c>
      <c r="L193" s="10">
        <v>7</v>
      </c>
      <c r="M193" s="10">
        <v>58</v>
      </c>
    </row>
    <row r="194" spans="1:13" ht="16.5" customHeight="1" x14ac:dyDescent="0.3">
      <c r="A194" s="7">
        <v>3423</v>
      </c>
      <c r="B194" s="7" t="s">
        <v>216</v>
      </c>
      <c r="C194" s="7" t="s">
        <v>26</v>
      </c>
      <c r="D194" s="9">
        <v>45540</v>
      </c>
      <c r="E194" s="7" t="s">
        <v>23</v>
      </c>
      <c r="F194" s="10">
        <v>10</v>
      </c>
      <c r="G194" s="7" t="s">
        <v>20</v>
      </c>
      <c r="H194" s="7" t="s">
        <v>23</v>
      </c>
      <c r="I194" s="10" t="s">
        <v>310</v>
      </c>
      <c r="J194" s="7" t="s">
        <v>19</v>
      </c>
      <c r="K194" s="10">
        <v>20</v>
      </c>
      <c r="L194" s="10">
        <v>10</v>
      </c>
      <c r="M194" s="10">
        <v>20</v>
      </c>
    </row>
    <row r="195" spans="1:13" ht="16.5" customHeight="1" x14ac:dyDescent="0.3">
      <c r="A195" s="7">
        <v>3424</v>
      </c>
      <c r="B195" s="7" t="s">
        <v>43</v>
      </c>
      <c r="C195" s="7" t="s">
        <v>22</v>
      </c>
      <c r="D195" s="9">
        <v>45541</v>
      </c>
      <c r="E195" s="7" t="s">
        <v>19</v>
      </c>
      <c r="F195" s="10">
        <v>5</v>
      </c>
      <c r="G195" s="7" t="s">
        <v>24</v>
      </c>
      <c r="H195" s="7" t="s">
        <v>23</v>
      </c>
      <c r="I195" s="10" t="s">
        <v>310</v>
      </c>
      <c r="J195" s="7" t="s">
        <v>23</v>
      </c>
      <c r="K195" s="10">
        <v>0</v>
      </c>
      <c r="L195" s="10">
        <v>0</v>
      </c>
      <c r="M195" s="10">
        <v>5</v>
      </c>
    </row>
    <row r="196" spans="1:13" ht="16.5" customHeight="1" x14ac:dyDescent="0.3">
      <c r="A196" s="7">
        <v>3425</v>
      </c>
      <c r="B196" s="7" t="s">
        <v>217</v>
      </c>
      <c r="C196" s="7" t="s">
        <v>18</v>
      </c>
      <c r="D196" s="9">
        <v>45542</v>
      </c>
      <c r="E196" s="7" t="s">
        <v>23</v>
      </c>
      <c r="F196" s="10">
        <v>15</v>
      </c>
      <c r="G196" s="7" t="s">
        <v>20</v>
      </c>
      <c r="H196" s="7" t="s">
        <v>19</v>
      </c>
      <c r="I196" s="10">
        <v>30</v>
      </c>
      <c r="J196" s="7" t="s">
        <v>19</v>
      </c>
      <c r="K196" s="10">
        <v>20</v>
      </c>
      <c r="L196" s="10">
        <v>20</v>
      </c>
      <c r="M196" s="10">
        <v>45</v>
      </c>
    </row>
    <row r="197" spans="1:13" ht="16.5" customHeight="1" x14ac:dyDescent="0.3">
      <c r="A197" s="7">
        <v>3426</v>
      </c>
      <c r="B197" s="7" t="s">
        <v>195</v>
      </c>
      <c r="C197" s="7" t="s">
        <v>26</v>
      </c>
      <c r="D197" s="9">
        <v>45543</v>
      </c>
      <c r="E197" s="7" t="s">
        <v>19</v>
      </c>
      <c r="F197" s="10">
        <v>10</v>
      </c>
      <c r="G197" s="7" t="s">
        <v>27</v>
      </c>
      <c r="H197" s="7" t="s">
        <v>23</v>
      </c>
      <c r="I197" s="10" t="s">
        <v>310</v>
      </c>
      <c r="J197" s="7" t="s">
        <v>19</v>
      </c>
      <c r="K197" s="10">
        <v>20</v>
      </c>
      <c r="L197" s="10">
        <v>15</v>
      </c>
      <c r="M197" s="10">
        <v>15</v>
      </c>
    </row>
    <row r="198" spans="1:13" ht="16.5" customHeight="1" x14ac:dyDescent="0.3">
      <c r="A198" s="7">
        <v>3427</v>
      </c>
      <c r="B198" s="7" t="s">
        <v>218</v>
      </c>
      <c r="C198" s="7" t="s">
        <v>22</v>
      </c>
      <c r="D198" s="9">
        <v>45544</v>
      </c>
      <c r="E198" s="7" t="s">
        <v>23</v>
      </c>
      <c r="F198" s="10">
        <v>5</v>
      </c>
      <c r="G198" s="7" t="s">
        <v>20</v>
      </c>
      <c r="H198" s="7" t="s">
        <v>23</v>
      </c>
      <c r="I198" s="10" t="s">
        <v>310</v>
      </c>
      <c r="J198" s="7" t="s">
        <v>23</v>
      </c>
      <c r="K198" s="10">
        <v>0</v>
      </c>
      <c r="L198" s="10">
        <v>1</v>
      </c>
      <c r="M198" s="10">
        <v>4</v>
      </c>
    </row>
    <row r="199" spans="1:13" ht="16.5" customHeight="1" x14ac:dyDescent="0.3">
      <c r="A199" s="7">
        <v>3428</v>
      </c>
      <c r="B199" s="7" t="s">
        <v>219</v>
      </c>
      <c r="C199" s="7" t="s">
        <v>18</v>
      </c>
      <c r="D199" s="9">
        <v>45545</v>
      </c>
      <c r="E199" s="7" t="s">
        <v>19</v>
      </c>
      <c r="F199" s="10">
        <v>15</v>
      </c>
      <c r="G199" s="7" t="s">
        <v>24</v>
      </c>
      <c r="H199" s="7" t="s">
        <v>19</v>
      </c>
      <c r="I199" s="10">
        <v>30</v>
      </c>
      <c r="J199" s="7" t="s">
        <v>19</v>
      </c>
      <c r="K199" s="10">
        <v>20</v>
      </c>
      <c r="L199" s="10">
        <v>3</v>
      </c>
      <c r="M199" s="10">
        <v>62</v>
      </c>
    </row>
    <row r="200" spans="1:13" ht="16.5" customHeight="1" x14ac:dyDescent="0.3">
      <c r="A200" s="7">
        <v>3429</v>
      </c>
      <c r="B200" s="7" t="s">
        <v>220</v>
      </c>
      <c r="C200" s="7" t="s">
        <v>26</v>
      </c>
      <c r="D200" s="9">
        <v>45546</v>
      </c>
      <c r="E200" s="7" t="s">
        <v>23</v>
      </c>
      <c r="F200" s="10">
        <v>10</v>
      </c>
      <c r="G200" s="7" t="s">
        <v>20</v>
      </c>
      <c r="H200" s="7" t="s">
        <v>23</v>
      </c>
      <c r="I200" s="10" t="s">
        <v>310</v>
      </c>
      <c r="J200" s="7" t="s">
        <v>19</v>
      </c>
      <c r="K200" s="10">
        <v>20</v>
      </c>
      <c r="L200" s="10">
        <v>10</v>
      </c>
      <c r="M200" s="10">
        <v>20</v>
      </c>
    </row>
    <row r="201" spans="1:13" ht="16.5" customHeight="1" x14ac:dyDescent="0.3">
      <c r="A201" s="7">
        <v>3430</v>
      </c>
      <c r="B201" s="7" t="s">
        <v>221</v>
      </c>
      <c r="C201" s="7" t="s">
        <v>22</v>
      </c>
      <c r="D201" s="9">
        <v>45547</v>
      </c>
      <c r="E201" s="7" t="s">
        <v>19</v>
      </c>
      <c r="F201" s="10">
        <v>5</v>
      </c>
      <c r="G201" s="7" t="s">
        <v>27</v>
      </c>
      <c r="H201" s="7" t="s">
        <v>23</v>
      </c>
      <c r="I201" s="10" t="s">
        <v>310</v>
      </c>
      <c r="J201" s="7" t="s">
        <v>23</v>
      </c>
      <c r="K201" s="10">
        <v>0</v>
      </c>
      <c r="L201" s="10">
        <v>0</v>
      </c>
      <c r="M201" s="10">
        <v>5</v>
      </c>
    </row>
    <row r="202" spans="1:13" ht="16.5" customHeight="1" x14ac:dyDescent="0.3">
      <c r="A202" s="7">
        <v>3431</v>
      </c>
      <c r="B202" s="7" t="s">
        <v>222</v>
      </c>
      <c r="C202" s="7" t="s">
        <v>18</v>
      </c>
      <c r="D202" s="9">
        <v>45548</v>
      </c>
      <c r="E202" s="7" t="s">
        <v>23</v>
      </c>
      <c r="F202" s="10">
        <v>15</v>
      </c>
      <c r="G202" s="7" t="s">
        <v>20</v>
      </c>
      <c r="H202" s="7" t="s">
        <v>19</v>
      </c>
      <c r="I202" s="10">
        <v>30</v>
      </c>
      <c r="J202" s="7" t="s">
        <v>19</v>
      </c>
      <c r="K202" s="10">
        <v>20</v>
      </c>
      <c r="L202" s="10">
        <v>15</v>
      </c>
      <c r="M202" s="10">
        <v>50</v>
      </c>
    </row>
    <row r="203" spans="1:13" ht="16.5" customHeight="1" x14ac:dyDescent="0.3">
      <c r="A203" s="7">
        <v>3432</v>
      </c>
      <c r="B203" s="7" t="s">
        <v>223</v>
      </c>
      <c r="C203" s="7" t="s">
        <v>26</v>
      </c>
      <c r="D203" s="9">
        <v>45549</v>
      </c>
      <c r="E203" s="7" t="s">
        <v>19</v>
      </c>
      <c r="F203" s="10">
        <v>10</v>
      </c>
      <c r="G203" s="7" t="s">
        <v>24</v>
      </c>
      <c r="H203" s="7" t="s">
        <v>23</v>
      </c>
      <c r="I203" s="10" t="s">
        <v>310</v>
      </c>
      <c r="J203" s="7" t="s">
        <v>19</v>
      </c>
      <c r="K203" s="10">
        <v>20</v>
      </c>
      <c r="L203" s="10">
        <v>15</v>
      </c>
      <c r="M203" s="10">
        <v>15</v>
      </c>
    </row>
    <row r="204" spans="1:13" ht="16.5" customHeight="1" x14ac:dyDescent="0.3">
      <c r="A204" s="7">
        <v>3433</v>
      </c>
      <c r="B204" s="7" t="s">
        <v>224</v>
      </c>
      <c r="C204" s="7" t="s">
        <v>22</v>
      </c>
      <c r="D204" s="9">
        <v>45550</v>
      </c>
      <c r="E204" s="7" t="s">
        <v>23</v>
      </c>
      <c r="F204" s="10">
        <v>5</v>
      </c>
      <c r="G204" s="7" t="s">
        <v>20</v>
      </c>
      <c r="H204" s="7" t="s">
        <v>23</v>
      </c>
      <c r="I204" s="10" t="s">
        <v>310</v>
      </c>
      <c r="J204" s="7" t="s">
        <v>23</v>
      </c>
      <c r="K204" s="10">
        <v>0</v>
      </c>
      <c r="L204" s="10">
        <v>1</v>
      </c>
      <c r="M204" s="10">
        <v>4</v>
      </c>
    </row>
    <row r="205" spans="1:13" ht="16.5" customHeight="1" x14ac:dyDescent="0.3">
      <c r="A205" s="7">
        <v>3434</v>
      </c>
      <c r="B205" s="7" t="s">
        <v>225</v>
      </c>
      <c r="C205" s="7" t="s">
        <v>18</v>
      </c>
      <c r="D205" s="9">
        <v>45551</v>
      </c>
      <c r="E205" s="7" t="s">
        <v>19</v>
      </c>
      <c r="F205" s="10">
        <v>15</v>
      </c>
      <c r="G205" s="7" t="s">
        <v>27</v>
      </c>
      <c r="H205" s="7" t="s">
        <v>19</v>
      </c>
      <c r="I205" s="10">
        <v>30</v>
      </c>
      <c r="J205" s="7" t="s">
        <v>19</v>
      </c>
      <c r="K205" s="10">
        <v>20</v>
      </c>
      <c r="L205" s="10">
        <v>7</v>
      </c>
      <c r="M205" s="10">
        <v>58</v>
      </c>
    </row>
    <row r="206" spans="1:13" ht="16.5" customHeight="1" x14ac:dyDescent="0.3">
      <c r="A206" s="7">
        <v>3435</v>
      </c>
      <c r="B206" s="7" t="s">
        <v>226</v>
      </c>
      <c r="C206" s="7" t="s">
        <v>26</v>
      </c>
      <c r="D206" s="9">
        <v>45552</v>
      </c>
      <c r="E206" s="7" t="s">
        <v>23</v>
      </c>
      <c r="F206" s="10">
        <v>10</v>
      </c>
      <c r="G206" s="7" t="s">
        <v>20</v>
      </c>
      <c r="H206" s="7" t="s">
        <v>23</v>
      </c>
      <c r="I206" s="10" t="s">
        <v>310</v>
      </c>
      <c r="J206" s="7" t="s">
        <v>19</v>
      </c>
      <c r="K206" s="10">
        <v>20</v>
      </c>
      <c r="L206" s="10">
        <v>10</v>
      </c>
      <c r="M206" s="10">
        <v>20</v>
      </c>
    </row>
    <row r="207" spans="1:13" ht="16.5" customHeight="1" x14ac:dyDescent="0.3">
      <c r="A207" s="7">
        <v>3436</v>
      </c>
      <c r="B207" s="7" t="s">
        <v>227</v>
      </c>
      <c r="C207" s="7" t="s">
        <v>22</v>
      </c>
      <c r="D207" s="9">
        <v>45553</v>
      </c>
      <c r="E207" s="7" t="s">
        <v>19</v>
      </c>
      <c r="F207" s="10">
        <v>5</v>
      </c>
      <c r="G207" s="7" t="s">
        <v>20</v>
      </c>
      <c r="H207" s="7" t="s">
        <v>23</v>
      </c>
      <c r="I207" s="10" t="s">
        <v>310</v>
      </c>
      <c r="J207" s="7" t="s">
        <v>23</v>
      </c>
      <c r="K207" s="10">
        <v>0</v>
      </c>
      <c r="L207" s="10">
        <v>0</v>
      </c>
      <c r="M207" s="10">
        <v>5</v>
      </c>
    </row>
    <row r="208" spans="1:13" ht="16.5" customHeight="1" x14ac:dyDescent="0.3">
      <c r="A208" s="7">
        <v>3437</v>
      </c>
      <c r="B208" s="7" t="s">
        <v>228</v>
      </c>
      <c r="C208" s="7" t="s">
        <v>18</v>
      </c>
      <c r="D208" s="9">
        <v>45554</v>
      </c>
      <c r="E208" s="7" t="s">
        <v>23</v>
      </c>
      <c r="F208" s="10">
        <v>15</v>
      </c>
      <c r="G208" s="7" t="s">
        <v>27</v>
      </c>
      <c r="H208" s="7" t="s">
        <v>19</v>
      </c>
      <c r="I208" s="10">
        <v>30</v>
      </c>
      <c r="J208" s="7" t="s">
        <v>19</v>
      </c>
      <c r="K208" s="10">
        <v>20</v>
      </c>
      <c r="L208" s="10">
        <v>7</v>
      </c>
      <c r="M208" s="10">
        <v>58</v>
      </c>
    </row>
    <row r="209" spans="1:13" ht="16.5" customHeight="1" x14ac:dyDescent="0.3">
      <c r="A209" s="7">
        <v>3438</v>
      </c>
      <c r="B209" s="7" t="s">
        <v>229</v>
      </c>
      <c r="C209" s="7" t="s">
        <v>26</v>
      </c>
      <c r="D209" s="9">
        <v>45555</v>
      </c>
      <c r="E209" s="7" t="s">
        <v>19</v>
      </c>
      <c r="F209" s="10">
        <v>10</v>
      </c>
      <c r="G209" s="7" t="s">
        <v>24</v>
      </c>
      <c r="H209" s="7" t="s">
        <v>23</v>
      </c>
      <c r="I209" s="10" t="s">
        <v>310</v>
      </c>
      <c r="J209" s="7" t="s">
        <v>19</v>
      </c>
      <c r="K209" s="10">
        <v>20</v>
      </c>
      <c r="L209" s="10">
        <v>10</v>
      </c>
      <c r="M209" s="10">
        <v>20</v>
      </c>
    </row>
    <row r="210" spans="1:13" ht="16.5" customHeight="1" x14ac:dyDescent="0.3">
      <c r="A210" s="7">
        <v>3439</v>
      </c>
      <c r="B210" s="7" t="s">
        <v>230</v>
      </c>
      <c r="C210" s="7" t="s">
        <v>22</v>
      </c>
      <c r="D210" s="9">
        <v>45556</v>
      </c>
      <c r="E210" s="7" t="s">
        <v>23</v>
      </c>
      <c r="F210" s="10">
        <v>5</v>
      </c>
      <c r="G210" s="7" t="s">
        <v>27</v>
      </c>
      <c r="H210" s="7" t="s">
        <v>23</v>
      </c>
      <c r="I210" s="10" t="s">
        <v>310</v>
      </c>
      <c r="J210" s="7" t="s">
        <v>23</v>
      </c>
      <c r="K210" s="10">
        <v>0</v>
      </c>
      <c r="L210" s="10">
        <v>1</v>
      </c>
      <c r="M210" s="10">
        <v>4</v>
      </c>
    </row>
    <row r="211" spans="1:13" ht="16.5" customHeight="1" x14ac:dyDescent="0.3">
      <c r="A211" s="7">
        <v>3440</v>
      </c>
      <c r="B211" s="7" t="s">
        <v>231</v>
      </c>
      <c r="C211" s="7" t="s">
        <v>18</v>
      </c>
      <c r="D211" s="9">
        <v>45557</v>
      </c>
      <c r="E211" s="7" t="s">
        <v>19</v>
      </c>
      <c r="F211" s="10">
        <v>15</v>
      </c>
      <c r="G211" s="7" t="s">
        <v>20</v>
      </c>
      <c r="H211" s="7" t="s">
        <v>19</v>
      </c>
      <c r="I211" s="10">
        <v>30</v>
      </c>
      <c r="J211" s="7" t="s">
        <v>19</v>
      </c>
      <c r="K211" s="10">
        <v>20</v>
      </c>
      <c r="L211" s="10">
        <v>15</v>
      </c>
      <c r="M211" s="10">
        <v>50</v>
      </c>
    </row>
    <row r="212" spans="1:13" ht="16.5" customHeight="1" x14ac:dyDescent="0.3">
      <c r="A212" s="7">
        <v>3441</v>
      </c>
      <c r="B212" s="7" t="s">
        <v>232</v>
      </c>
      <c r="C212" s="7" t="s">
        <v>26</v>
      </c>
      <c r="D212" s="9">
        <v>45558</v>
      </c>
      <c r="E212" s="7" t="s">
        <v>23</v>
      </c>
      <c r="F212" s="10">
        <v>10</v>
      </c>
      <c r="G212" s="7" t="s">
        <v>20</v>
      </c>
      <c r="H212" s="7" t="s">
        <v>23</v>
      </c>
      <c r="I212" s="10" t="s">
        <v>310</v>
      </c>
      <c r="J212" s="7" t="s">
        <v>19</v>
      </c>
      <c r="K212" s="10">
        <v>20</v>
      </c>
      <c r="L212" s="10">
        <v>5</v>
      </c>
      <c r="M212" s="10">
        <v>25</v>
      </c>
    </row>
    <row r="213" spans="1:13" ht="16.5" customHeight="1" x14ac:dyDescent="0.3">
      <c r="A213" s="7">
        <v>3442</v>
      </c>
      <c r="B213" s="7" t="s">
        <v>233</v>
      </c>
      <c r="C213" s="7" t="s">
        <v>22</v>
      </c>
      <c r="D213" s="9">
        <v>45559</v>
      </c>
      <c r="E213" s="7" t="s">
        <v>19</v>
      </c>
      <c r="F213" s="10">
        <v>5</v>
      </c>
      <c r="G213" s="7" t="s">
        <v>24</v>
      </c>
      <c r="H213" s="7" t="s">
        <v>23</v>
      </c>
      <c r="I213" s="10" t="s">
        <v>310</v>
      </c>
      <c r="J213" s="7" t="s">
        <v>23</v>
      </c>
      <c r="K213" s="10">
        <v>0</v>
      </c>
      <c r="L213" s="10">
        <v>0</v>
      </c>
      <c r="M213" s="10">
        <v>5</v>
      </c>
    </row>
    <row r="214" spans="1:13" ht="16.5" customHeight="1" x14ac:dyDescent="0.3">
      <c r="A214" s="7">
        <v>3443</v>
      </c>
      <c r="B214" s="7" t="s">
        <v>234</v>
      </c>
      <c r="C214" s="7" t="s">
        <v>18</v>
      </c>
      <c r="D214" s="9">
        <v>45560</v>
      </c>
      <c r="E214" s="7" t="s">
        <v>23</v>
      </c>
      <c r="F214" s="10">
        <v>15</v>
      </c>
      <c r="G214" s="7" t="s">
        <v>27</v>
      </c>
      <c r="H214" s="7" t="s">
        <v>19</v>
      </c>
      <c r="I214" s="10">
        <v>30</v>
      </c>
      <c r="J214" s="7" t="s">
        <v>19</v>
      </c>
      <c r="K214" s="10">
        <v>20</v>
      </c>
      <c r="L214" s="10">
        <v>20</v>
      </c>
      <c r="M214" s="10">
        <v>45</v>
      </c>
    </row>
    <row r="215" spans="1:13" ht="16.5" customHeight="1" x14ac:dyDescent="0.3">
      <c r="A215" s="7">
        <v>3444</v>
      </c>
      <c r="B215" s="7" t="s">
        <v>235</v>
      </c>
      <c r="C215" s="7" t="s">
        <v>26</v>
      </c>
      <c r="D215" s="9">
        <v>45561</v>
      </c>
      <c r="E215" s="7" t="s">
        <v>19</v>
      </c>
      <c r="F215" s="10">
        <v>10</v>
      </c>
      <c r="G215" s="7" t="s">
        <v>27</v>
      </c>
      <c r="H215" s="7" t="s">
        <v>23</v>
      </c>
      <c r="I215" s="10" t="s">
        <v>310</v>
      </c>
      <c r="J215" s="7" t="s">
        <v>19</v>
      </c>
      <c r="K215" s="10">
        <v>20</v>
      </c>
      <c r="L215" s="10">
        <v>12</v>
      </c>
      <c r="M215" s="10">
        <v>18</v>
      </c>
    </row>
    <row r="216" spans="1:13" ht="16.5" customHeight="1" x14ac:dyDescent="0.3">
      <c r="A216" s="7">
        <v>3445</v>
      </c>
      <c r="B216" s="7" t="s">
        <v>66</v>
      </c>
      <c r="C216" s="7" t="s">
        <v>22</v>
      </c>
      <c r="D216" s="9">
        <v>45562</v>
      </c>
      <c r="E216" s="7" t="s">
        <v>23</v>
      </c>
      <c r="F216" s="10">
        <v>5</v>
      </c>
      <c r="G216" s="7" t="s">
        <v>20</v>
      </c>
      <c r="H216" s="7" t="s">
        <v>23</v>
      </c>
      <c r="I216" s="10" t="s">
        <v>310</v>
      </c>
      <c r="J216" s="7" t="s">
        <v>23</v>
      </c>
      <c r="K216" s="10">
        <v>0</v>
      </c>
      <c r="L216" s="10">
        <v>2</v>
      </c>
      <c r="M216" s="10">
        <v>3</v>
      </c>
    </row>
    <row r="217" spans="1:13" ht="16.5" customHeight="1" x14ac:dyDescent="0.3">
      <c r="A217" s="7">
        <v>3446</v>
      </c>
      <c r="B217" s="7" t="s">
        <v>236</v>
      </c>
      <c r="C217" s="7" t="s">
        <v>18</v>
      </c>
      <c r="D217" s="9">
        <v>45563</v>
      </c>
      <c r="E217" s="7" t="s">
        <v>19</v>
      </c>
      <c r="F217" s="10">
        <v>15</v>
      </c>
      <c r="G217" s="7" t="s">
        <v>24</v>
      </c>
      <c r="H217" s="7" t="s">
        <v>19</v>
      </c>
      <c r="I217" s="10">
        <v>30</v>
      </c>
      <c r="J217" s="7" t="s">
        <v>19</v>
      </c>
      <c r="K217" s="10">
        <v>20</v>
      </c>
      <c r="L217" s="10">
        <v>5</v>
      </c>
      <c r="M217" s="10">
        <v>60</v>
      </c>
    </row>
    <row r="218" spans="1:13" ht="16.5" customHeight="1" x14ac:dyDescent="0.3">
      <c r="A218" s="7">
        <v>3447</v>
      </c>
      <c r="B218" s="7" t="s">
        <v>237</v>
      </c>
      <c r="C218" s="7" t="s">
        <v>26</v>
      </c>
      <c r="D218" s="9">
        <v>45564</v>
      </c>
      <c r="E218" s="7" t="s">
        <v>23</v>
      </c>
      <c r="F218" s="10">
        <v>10</v>
      </c>
      <c r="G218" s="7" t="s">
        <v>20</v>
      </c>
      <c r="H218" s="7" t="s">
        <v>23</v>
      </c>
      <c r="I218" s="10" t="s">
        <v>310</v>
      </c>
      <c r="J218" s="7" t="s">
        <v>19</v>
      </c>
      <c r="K218" s="10">
        <v>20</v>
      </c>
      <c r="L218" s="10">
        <v>10</v>
      </c>
      <c r="M218" s="10">
        <v>20</v>
      </c>
    </row>
    <row r="219" spans="1:13" ht="16.5" customHeight="1" x14ac:dyDescent="0.3">
      <c r="A219" s="7">
        <v>3448</v>
      </c>
      <c r="B219" s="7" t="s">
        <v>238</v>
      </c>
      <c r="C219" s="7" t="s">
        <v>22</v>
      </c>
      <c r="D219" s="9">
        <v>45565</v>
      </c>
      <c r="E219" s="7" t="s">
        <v>19</v>
      </c>
      <c r="F219" s="10">
        <v>5</v>
      </c>
      <c r="G219" s="7" t="s">
        <v>27</v>
      </c>
      <c r="H219" s="7" t="s">
        <v>23</v>
      </c>
      <c r="I219" s="10" t="s">
        <v>310</v>
      </c>
      <c r="J219" s="7" t="s">
        <v>23</v>
      </c>
      <c r="K219" s="10">
        <v>0</v>
      </c>
      <c r="L219" s="10">
        <v>0</v>
      </c>
      <c r="M219" s="10">
        <v>5</v>
      </c>
    </row>
    <row r="220" spans="1:13" ht="16.5" customHeight="1" x14ac:dyDescent="0.3">
      <c r="A220" s="7">
        <v>3449</v>
      </c>
      <c r="B220" s="7" t="s">
        <v>239</v>
      </c>
      <c r="C220" s="7" t="s">
        <v>18</v>
      </c>
      <c r="D220" s="9">
        <v>45566</v>
      </c>
      <c r="E220" s="7" t="s">
        <v>23</v>
      </c>
      <c r="F220" s="10">
        <v>15</v>
      </c>
      <c r="G220" s="7" t="s">
        <v>20</v>
      </c>
      <c r="H220" s="7" t="s">
        <v>19</v>
      </c>
      <c r="I220" s="10">
        <v>30</v>
      </c>
      <c r="J220" s="7" t="s">
        <v>19</v>
      </c>
      <c r="K220" s="10">
        <v>20</v>
      </c>
      <c r="L220" s="10">
        <v>3</v>
      </c>
      <c r="M220" s="10">
        <v>62</v>
      </c>
    </row>
    <row r="221" spans="1:13" ht="16.5" customHeight="1" x14ac:dyDescent="0.3">
      <c r="A221" s="7">
        <v>3450</v>
      </c>
      <c r="B221" s="7" t="s">
        <v>240</v>
      </c>
      <c r="C221" s="7" t="s">
        <v>26</v>
      </c>
      <c r="D221" s="9">
        <v>45567</v>
      </c>
      <c r="E221" s="7" t="s">
        <v>19</v>
      </c>
      <c r="F221" s="10">
        <v>10</v>
      </c>
      <c r="G221" s="7" t="s">
        <v>24</v>
      </c>
      <c r="H221" s="7" t="s">
        <v>23</v>
      </c>
      <c r="I221" s="10" t="s">
        <v>310</v>
      </c>
      <c r="J221" s="7" t="s">
        <v>19</v>
      </c>
      <c r="K221" s="10">
        <v>20</v>
      </c>
      <c r="L221" s="10">
        <v>15</v>
      </c>
      <c r="M221" s="10">
        <v>15</v>
      </c>
    </row>
    <row r="222" spans="1:13" ht="16.5" customHeight="1" x14ac:dyDescent="0.3">
      <c r="A222" s="7">
        <v>3451</v>
      </c>
      <c r="B222" s="7" t="s">
        <v>241</v>
      </c>
      <c r="C222" s="7" t="s">
        <v>22</v>
      </c>
      <c r="D222" s="9">
        <v>45568</v>
      </c>
      <c r="E222" s="7" t="s">
        <v>23</v>
      </c>
      <c r="F222" s="10">
        <v>5</v>
      </c>
      <c r="G222" s="7" t="s">
        <v>20</v>
      </c>
      <c r="H222" s="7" t="s">
        <v>23</v>
      </c>
      <c r="I222" s="10" t="s">
        <v>310</v>
      </c>
      <c r="J222" s="7" t="s">
        <v>23</v>
      </c>
      <c r="K222" s="10">
        <v>0</v>
      </c>
      <c r="L222" s="10">
        <v>1</v>
      </c>
      <c r="M222" s="10">
        <v>4</v>
      </c>
    </row>
    <row r="223" spans="1:13" ht="16.5" customHeight="1" x14ac:dyDescent="0.3">
      <c r="A223" s="7">
        <v>3452</v>
      </c>
      <c r="B223" s="7" t="s">
        <v>219</v>
      </c>
      <c r="C223" s="7" t="s">
        <v>18</v>
      </c>
      <c r="D223" s="9">
        <v>45569</v>
      </c>
      <c r="E223" s="7" t="s">
        <v>19</v>
      </c>
      <c r="F223" s="10">
        <v>15</v>
      </c>
      <c r="G223" s="7" t="s">
        <v>27</v>
      </c>
      <c r="H223" s="7" t="s">
        <v>19</v>
      </c>
      <c r="I223" s="10">
        <v>30</v>
      </c>
      <c r="J223" s="7" t="s">
        <v>19</v>
      </c>
      <c r="K223" s="10">
        <v>20</v>
      </c>
      <c r="L223" s="10">
        <v>7</v>
      </c>
      <c r="M223" s="10">
        <v>58</v>
      </c>
    </row>
    <row r="224" spans="1:13" ht="16.5" customHeight="1" x14ac:dyDescent="0.3">
      <c r="A224" s="7">
        <v>3453</v>
      </c>
      <c r="B224" s="7" t="s">
        <v>74</v>
      </c>
      <c r="C224" s="7" t="s">
        <v>26</v>
      </c>
      <c r="D224" s="9">
        <v>45570</v>
      </c>
      <c r="E224" s="7" t="s">
        <v>23</v>
      </c>
      <c r="F224" s="10">
        <v>10</v>
      </c>
      <c r="G224" s="7" t="s">
        <v>20</v>
      </c>
      <c r="H224" s="7" t="s">
        <v>23</v>
      </c>
      <c r="I224" s="10" t="s">
        <v>310</v>
      </c>
      <c r="J224" s="7" t="s">
        <v>19</v>
      </c>
      <c r="K224" s="10">
        <v>20</v>
      </c>
      <c r="L224" s="10">
        <v>10</v>
      </c>
      <c r="M224" s="10">
        <v>20</v>
      </c>
    </row>
    <row r="225" spans="1:13" ht="16.5" customHeight="1" x14ac:dyDescent="0.3">
      <c r="A225" s="7">
        <v>3454</v>
      </c>
      <c r="B225" s="7" t="s">
        <v>242</v>
      </c>
      <c r="C225" s="7" t="s">
        <v>22</v>
      </c>
      <c r="D225" s="9">
        <v>45571</v>
      </c>
      <c r="E225" s="7" t="s">
        <v>19</v>
      </c>
      <c r="F225" s="10">
        <v>5</v>
      </c>
      <c r="G225" s="7" t="s">
        <v>24</v>
      </c>
      <c r="H225" s="7" t="s">
        <v>23</v>
      </c>
      <c r="I225" s="10" t="s">
        <v>310</v>
      </c>
      <c r="J225" s="7" t="s">
        <v>23</v>
      </c>
      <c r="K225" s="10">
        <v>0</v>
      </c>
      <c r="L225" s="10">
        <v>0</v>
      </c>
      <c r="M225" s="10">
        <v>5</v>
      </c>
    </row>
    <row r="226" spans="1:13" ht="16.5" customHeight="1" x14ac:dyDescent="0.3">
      <c r="A226" s="7">
        <v>3455</v>
      </c>
      <c r="B226" s="7" t="s">
        <v>243</v>
      </c>
      <c r="C226" s="7" t="s">
        <v>18</v>
      </c>
      <c r="D226" s="9">
        <v>45572</v>
      </c>
      <c r="E226" s="7" t="s">
        <v>23</v>
      </c>
      <c r="F226" s="10">
        <v>15</v>
      </c>
      <c r="G226" s="7" t="s">
        <v>20</v>
      </c>
      <c r="H226" s="7" t="s">
        <v>19</v>
      </c>
      <c r="I226" s="10">
        <v>30</v>
      </c>
      <c r="J226" s="7" t="s">
        <v>19</v>
      </c>
      <c r="K226" s="10">
        <v>20</v>
      </c>
      <c r="L226" s="10">
        <v>20</v>
      </c>
      <c r="M226" s="10">
        <v>45</v>
      </c>
    </row>
    <row r="227" spans="1:13" ht="16.5" customHeight="1" x14ac:dyDescent="0.3">
      <c r="A227" s="7">
        <v>3456</v>
      </c>
      <c r="B227" s="7" t="s">
        <v>244</v>
      </c>
      <c r="C227" s="7" t="s">
        <v>26</v>
      </c>
      <c r="D227" s="9">
        <v>45573</v>
      </c>
      <c r="E227" s="7" t="s">
        <v>19</v>
      </c>
      <c r="F227" s="10">
        <v>10</v>
      </c>
      <c r="G227" s="7" t="s">
        <v>27</v>
      </c>
      <c r="H227" s="7" t="s">
        <v>23</v>
      </c>
      <c r="I227" s="10" t="s">
        <v>310</v>
      </c>
      <c r="J227" s="7" t="s">
        <v>19</v>
      </c>
      <c r="K227" s="10">
        <v>20</v>
      </c>
      <c r="L227" s="10">
        <v>15</v>
      </c>
      <c r="M227" s="10">
        <v>15</v>
      </c>
    </row>
    <row r="228" spans="1:13" ht="16.5" customHeight="1" x14ac:dyDescent="0.3">
      <c r="A228" s="7">
        <v>3457</v>
      </c>
      <c r="B228" s="7" t="s">
        <v>245</v>
      </c>
      <c r="C228" s="7" t="s">
        <v>22</v>
      </c>
      <c r="D228" s="9">
        <v>45574</v>
      </c>
      <c r="E228" s="7" t="s">
        <v>23</v>
      </c>
      <c r="F228" s="10">
        <v>5</v>
      </c>
      <c r="G228" s="7" t="s">
        <v>20</v>
      </c>
      <c r="H228" s="7" t="s">
        <v>23</v>
      </c>
      <c r="I228" s="10" t="s">
        <v>310</v>
      </c>
      <c r="J228" s="7" t="s">
        <v>23</v>
      </c>
      <c r="K228" s="10">
        <v>0</v>
      </c>
      <c r="L228" s="10">
        <v>1</v>
      </c>
      <c r="M228" s="10">
        <v>4</v>
      </c>
    </row>
    <row r="229" spans="1:13" ht="16.5" customHeight="1" x14ac:dyDescent="0.3">
      <c r="A229" s="7">
        <v>3458</v>
      </c>
      <c r="B229" s="7" t="s">
        <v>246</v>
      </c>
      <c r="C229" s="7" t="s">
        <v>18</v>
      </c>
      <c r="D229" s="9">
        <v>45575</v>
      </c>
      <c r="E229" s="7" t="s">
        <v>19</v>
      </c>
      <c r="F229" s="10">
        <v>15</v>
      </c>
      <c r="G229" s="7" t="s">
        <v>24</v>
      </c>
      <c r="H229" s="7" t="s">
        <v>19</v>
      </c>
      <c r="I229" s="10">
        <v>30</v>
      </c>
      <c r="J229" s="7" t="s">
        <v>19</v>
      </c>
      <c r="K229" s="10">
        <v>20</v>
      </c>
      <c r="L229" s="10">
        <v>3</v>
      </c>
      <c r="M229" s="10">
        <v>62</v>
      </c>
    </row>
    <row r="230" spans="1:13" ht="16.5" customHeight="1" x14ac:dyDescent="0.3">
      <c r="A230" s="7">
        <v>3459</v>
      </c>
      <c r="B230" s="7" t="s">
        <v>247</v>
      </c>
      <c r="C230" s="7" t="s">
        <v>26</v>
      </c>
      <c r="D230" s="9">
        <v>45576</v>
      </c>
      <c r="E230" s="7" t="s">
        <v>23</v>
      </c>
      <c r="F230" s="10">
        <v>10</v>
      </c>
      <c r="G230" s="7" t="s">
        <v>20</v>
      </c>
      <c r="H230" s="7" t="s">
        <v>23</v>
      </c>
      <c r="I230" s="10" t="s">
        <v>310</v>
      </c>
      <c r="J230" s="7" t="s">
        <v>19</v>
      </c>
      <c r="K230" s="10">
        <v>20</v>
      </c>
      <c r="L230" s="10">
        <v>10</v>
      </c>
      <c r="M230" s="10">
        <v>20</v>
      </c>
    </row>
    <row r="231" spans="1:13" ht="16.5" customHeight="1" x14ac:dyDescent="0.3">
      <c r="A231" s="7">
        <v>3460</v>
      </c>
      <c r="B231" s="7" t="s">
        <v>155</v>
      </c>
      <c r="C231" s="7" t="s">
        <v>22</v>
      </c>
      <c r="D231" s="9">
        <v>45577</v>
      </c>
      <c r="E231" s="7" t="s">
        <v>19</v>
      </c>
      <c r="F231" s="10">
        <v>5</v>
      </c>
      <c r="G231" s="7" t="s">
        <v>27</v>
      </c>
      <c r="H231" s="7" t="s">
        <v>23</v>
      </c>
      <c r="I231" s="10" t="s">
        <v>310</v>
      </c>
      <c r="J231" s="7" t="s">
        <v>23</v>
      </c>
      <c r="K231" s="10">
        <v>0</v>
      </c>
      <c r="L231" s="10">
        <v>0</v>
      </c>
      <c r="M231" s="10">
        <v>5</v>
      </c>
    </row>
    <row r="232" spans="1:13" ht="16.5" customHeight="1" x14ac:dyDescent="0.3">
      <c r="A232" s="7">
        <v>3461</v>
      </c>
      <c r="B232" s="7" t="s">
        <v>248</v>
      </c>
      <c r="C232" s="7" t="s">
        <v>18</v>
      </c>
      <c r="D232" s="9">
        <v>45578</v>
      </c>
      <c r="E232" s="7" t="s">
        <v>23</v>
      </c>
      <c r="F232" s="10">
        <v>15</v>
      </c>
      <c r="G232" s="7" t="s">
        <v>20</v>
      </c>
      <c r="H232" s="7" t="s">
        <v>19</v>
      </c>
      <c r="I232" s="10">
        <v>30</v>
      </c>
      <c r="J232" s="7" t="s">
        <v>19</v>
      </c>
      <c r="K232" s="10">
        <v>20</v>
      </c>
      <c r="L232" s="10">
        <v>15</v>
      </c>
      <c r="M232" s="10">
        <v>50</v>
      </c>
    </row>
    <row r="233" spans="1:13" ht="16.5" customHeight="1" x14ac:dyDescent="0.3">
      <c r="A233" s="7">
        <v>3462</v>
      </c>
      <c r="B233" s="7" t="s">
        <v>249</v>
      </c>
      <c r="C233" s="7" t="s">
        <v>26</v>
      </c>
      <c r="D233" s="9">
        <v>45579</v>
      </c>
      <c r="E233" s="7" t="s">
        <v>19</v>
      </c>
      <c r="F233" s="10">
        <v>10</v>
      </c>
      <c r="G233" s="7" t="s">
        <v>24</v>
      </c>
      <c r="H233" s="7" t="s">
        <v>23</v>
      </c>
      <c r="I233" s="10" t="s">
        <v>310</v>
      </c>
      <c r="J233" s="7" t="s">
        <v>19</v>
      </c>
      <c r="K233" s="10">
        <v>20</v>
      </c>
      <c r="L233" s="10">
        <v>15</v>
      </c>
      <c r="M233" s="10">
        <v>15</v>
      </c>
    </row>
    <row r="234" spans="1:13" ht="16.5" customHeight="1" x14ac:dyDescent="0.3">
      <c r="A234" s="7">
        <v>3463</v>
      </c>
      <c r="B234" s="7" t="s">
        <v>250</v>
      </c>
      <c r="C234" s="7" t="s">
        <v>22</v>
      </c>
      <c r="D234" s="9">
        <v>45580</v>
      </c>
      <c r="E234" s="7" t="s">
        <v>23</v>
      </c>
      <c r="F234" s="10">
        <v>5</v>
      </c>
      <c r="G234" s="7" t="s">
        <v>20</v>
      </c>
      <c r="H234" s="7" t="s">
        <v>23</v>
      </c>
      <c r="I234" s="10" t="s">
        <v>310</v>
      </c>
      <c r="J234" s="7" t="s">
        <v>23</v>
      </c>
      <c r="K234" s="10">
        <v>0</v>
      </c>
      <c r="L234" s="10">
        <v>1</v>
      </c>
      <c r="M234" s="10">
        <v>4</v>
      </c>
    </row>
    <row r="235" spans="1:13" ht="16.5" customHeight="1" x14ac:dyDescent="0.3">
      <c r="A235" s="7">
        <v>3464</v>
      </c>
      <c r="B235" s="7" t="s">
        <v>251</v>
      </c>
      <c r="C235" s="7" t="s">
        <v>18</v>
      </c>
      <c r="D235" s="9">
        <v>45581</v>
      </c>
      <c r="E235" s="7" t="s">
        <v>19</v>
      </c>
      <c r="F235" s="10">
        <v>15</v>
      </c>
      <c r="G235" s="7" t="s">
        <v>27</v>
      </c>
      <c r="H235" s="7" t="s">
        <v>19</v>
      </c>
      <c r="I235" s="10">
        <v>30</v>
      </c>
      <c r="J235" s="7" t="s">
        <v>19</v>
      </c>
      <c r="K235" s="10">
        <v>20</v>
      </c>
      <c r="L235" s="10">
        <v>7</v>
      </c>
      <c r="M235" s="10">
        <v>58</v>
      </c>
    </row>
    <row r="236" spans="1:13" ht="16.5" customHeight="1" x14ac:dyDescent="0.3">
      <c r="A236" s="7">
        <v>3465</v>
      </c>
      <c r="B236" s="7" t="s">
        <v>252</v>
      </c>
      <c r="C236" s="7" t="s">
        <v>26</v>
      </c>
      <c r="D236" s="9">
        <v>45582</v>
      </c>
      <c r="E236" s="7" t="s">
        <v>23</v>
      </c>
      <c r="F236" s="10">
        <v>10</v>
      </c>
      <c r="G236" s="7" t="s">
        <v>20</v>
      </c>
      <c r="H236" s="7" t="s">
        <v>23</v>
      </c>
      <c r="I236" s="10" t="s">
        <v>310</v>
      </c>
      <c r="J236" s="7" t="s">
        <v>19</v>
      </c>
      <c r="K236" s="10">
        <v>20</v>
      </c>
      <c r="L236" s="10">
        <v>10</v>
      </c>
      <c r="M236" s="10">
        <v>20</v>
      </c>
    </row>
    <row r="237" spans="1:13" ht="16.5" customHeight="1" x14ac:dyDescent="0.3">
      <c r="A237" s="7">
        <v>3466</v>
      </c>
      <c r="B237" s="7" t="s">
        <v>253</v>
      </c>
      <c r="C237" s="7" t="s">
        <v>22</v>
      </c>
      <c r="D237" s="9">
        <v>45583</v>
      </c>
      <c r="E237" s="7" t="s">
        <v>19</v>
      </c>
      <c r="F237" s="10">
        <v>5</v>
      </c>
      <c r="G237" s="7" t="s">
        <v>24</v>
      </c>
      <c r="H237" s="7" t="s">
        <v>23</v>
      </c>
      <c r="I237" s="10" t="s">
        <v>310</v>
      </c>
      <c r="J237" s="7" t="s">
        <v>23</v>
      </c>
      <c r="K237" s="10">
        <v>0</v>
      </c>
      <c r="L237" s="10">
        <v>0</v>
      </c>
      <c r="M237" s="10">
        <v>5</v>
      </c>
    </row>
    <row r="238" spans="1:13" ht="16.5" customHeight="1" x14ac:dyDescent="0.3">
      <c r="A238" s="7">
        <v>3467</v>
      </c>
      <c r="B238" s="7" t="s">
        <v>254</v>
      </c>
      <c r="C238" s="7" t="s">
        <v>18</v>
      </c>
      <c r="D238" s="9">
        <v>45584</v>
      </c>
      <c r="E238" s="7" t="s">
        <v>23</v>
      </c>
      <c r="F238" s="10">
        <v>15</v>
      </c>
      <c r="G238" s="7" t="s">
        <v>20</v>
      </c>
      <c r="H238" s="7" t="s">
        <v>19</v>
      </c>
      <c r="I238" s="10">
        <v>30</v>
      </c>
      <c r="J238" s="7" t="s">
        <v>19</v>
      </c>
      <c r="K238" s="10">
        <v>20</v>
      </c>
      <c r="L238" s="10">
        <v>15</v>
      </c>
      <c r="M238" s="10">
        <v>50</v>
      </c>
    </row>
    <row r="239" spans="1:13" ht="16.5" customHeight="1" x14ac:dyDescent="0.3">
      <c r="A239" s="7">
        <v>3468</v>
      </c>
      <c r="B239" s="7" t="s">
        <v>255</v>
      </c>
      <c r="C239" s="7" t="s">
        <v>26</v>
      </c>
      <c r="D239" s="9">
        <v>45585</v>
      </c>
      <c r="E239" s="7" t="s">
        <v>19</v>
      </c>
      <c r="F239" s="10">
        <v>10</v>
      </c>
      <c r="G239" s="7" t="s">
        <v>27</v>
      </c>
      <c r="H239" s="7" t="s">
        <v>23</v>
      </c>
      <c r="I239" s="10" t="s">
        <v>310</v>
      </c>
      <c r="J239" s="7" t="s">
        <v>19</v>
      </c>
      <c r="K239" s="10">
        <v>20</v>
      </c>
      <c r="L239" s="10">
        <v>12</v>
      </c>
      <c r="M239" s="10">
        <v>18</v>
      </c>
    </row>
    <row r="240" spans="1:13" ht="16.5" customHeight="1" x14ac:dyDescent="0.3">
      <c r="A240" s="7">
        <v>3469</v>
      </c>
      <c r="B240" s="7" t="s">
        <v>256</v>
      </c>
      <c r="C240" s="7" t="s">
        <v>22</v>
      </c>
      <c r="D240" s="9">
        <v>45586</v>
      </c>
      <c r="E240" s="7" t="s">
        <v>23</v>
      </c>
      <c r="F240" s="10">
        <v>5</v>
      </c>
      <c r="G240" s="7" t="s">
        <v>20</v>
      </c>
      <c r="H240" s="7" t="s">
        <v>23</v>
      </c>
      <c r="I240" s="10" t="s">
        <v>310</v>
      </c>
      <c r="J240" s="7" t="s">
        <v>23</v>
      </c>
      <c r="K240" s="10">
        <v>0</v>
      </c>
      <c r="L240" s="10">
        <v>2</v>
      </c>
      <c r="M240" s="10">
        <v>3</v>
      </c>
    </row>
    <row r="241" spans="1:13" ht="16.5" customHeight="1" x14ac:dyDescent="0.3">
      <c r="A241" s="7">
        <v>3470</v>
      </c>
      <c r="B241" s="7" t="s">
        <v>257</v>
      </c>
      <c r="C241" s="7" t="s">
        <v>18</v>
      </c>
      <c r="D241" s="9">
        <v>45587</v>
      </c>
      <c r="E241" s="7" t="s">
        <v>19</v>
      </c>
      <c r="F241" s="10">
        <v>15</v>
      </c>
      <c r="G241" s="7" t="s">
        <v>24</v>
      </c>
      <c r="H241" s="7" t="s">
        <v>19</v>
      </c>
      <c r="I241" s="10">
        <v>30</v>
      </c>
      <c r="J241" s="7" t="s">
        <v>19</v>
      </c>
      <c r="K241" s="10">
        <v>20</v>
      </c>
      <c r="L241" s="10">
        <v>5</v>
      </c>
      <c r="M241" s="10">
        <v>60</v>
      </c>
    </row>
    <row r="242" spans="1:13" ht="16.5" customHeight="1" x14ac:dyDescent="0.3">
      <c r="A242" s="7">
        <v>3471</v>
      </c>
      <c r="B242" s="7" t="s">
        <v>258</v>
      </c>
      <c r="C242" s="7" t="s">
        <v>26</v>
      </c>
      <c r="D242" s="9">
        <v>45588</v>
      </c>
      <c r="E242" s="7" t="s">
        <v>23</v>
      </c>
      <c r="F242" s="10">
        <v>10</v>
      </c>
      <c r="G242" s="7" t="s">
        <v>20</v>
      </c>
      <c r="H242" s="7" t="s">
        <v>23</v>
      </c>
      <c r="I242" s="10" t="s">
        <v>310</v>
      </c>
      <c r="J242" s="7" t="s">
        <v>19</v>
      </c>
      <c r="K242" s="10">
        <v>20</v>
      </c>
      <c r="L242" s="10">
        <v>10</v>
      </c>
      <c r="M242" s="10">
        <v>20</v>
      </c>
    </row>
    <row r="243" spans="1:13" ht="16.5" customHeight="1" x14ac:dyDescent="0.3">
      <c r="A243" s="7">
        <v>3472</v>
      </c>
      <c r="B243" s="7" t="s">
        <v>259</v>
      </c>
      <c r="C243" s="7" t="s">
        <v>22</v>
      </c>
      <c r="D243" s="9">
        <v>45589</v>
      </c>
      <c r="E243" s="7" t="s">
        <v>19</v>
      </c>
      <c r="F243" s="10">
        <v>5</v>
      </c>
      <c r="G243" s="7" t="s">
        <v>27</v>
      </c>
      <c r="H243" s="7" t="s">
        <v>23</v>
      </c>
      <c r="I243" s="10" t="s">
        <v>310</v>
      </c>
      <c r="J243" s="7" t="s">
        <v>23</v>
      </c>
      <c r="K243" s="10">
        <v>0</v>
      </c>
      <c r="L243" s="10">
        <v>0</v>
      </c>
      <c r="M243" s="10">
        <v>5</v>
      </c>
    </row>
    <row r="244" spans="1:13" ht="16.5" customHeight="1" x14ac:dyDescent="0.3">
      <c r="A244" s="7">
        <v>3473</v>
      </c>
      <c r="B244" s="7" t="s">
        <v>168</v>
      </c>
      <c r="C244" s="7" t="s">
        <v>18</v>
      </c>
      <c r="D244" s="9">
        <v>45590</v>
      </c>
      <c r="E244" s="7" t="s">
        <v>23</v>
      </c>
      <c r="F244" s="10">
        <v>15</v>
      </c>
      <c r="G244" s="7" t="s">
        <v>20</v>
      </c>
      <c r="H244" s="7" t="s">
        <v>19</v>
      </c>
      <c r="I244" s="10">
        <v>30</v>
      </c>
      <c r="J244" s="7" t="s">
        <v>19</v>
      </c>
      <c r="K244" s="10">
        <v>20</v>
      </c>
      <c r="L244" s="10">
        <v>3</v>
      </c>
      <c r="M244" s="10">
        <v>62</v>
      </c>
    </row>
    <row r="245" spans="1:13" ht="16.5" customHeight="1" x14ac:dyDescent="0.3">
      <c r="A245" s="7">
        <v>3474</v>
      </c>
      <c r="B245" s="7" t="s">
        <v>260</v>
      </c>
      <c r="C245" s="7" t="s">
        <v>26</v>
      </c>
      <c r="D245" s="9">
        <v>45591</v>
      </c>
      <c r="E245" s="7" t="s">
        <v>19</v>
      </c>
      <c r="F245" s="10">
        <v>10</v>
      </c>
      <c r="G245" s="7" t="s">
        <v>24</v>
      </c>
      <c r="H245" s="7" t="s">
        <v>23</v>
      </c>
      <c r="I245" s="10" t="s">
        <v>310</v>
      </c>
      <c r="J245" s="7" t="s">
        <v>19</v>
      </c>
      <c r="K245" s="10">
        <v>20</v>
      </c>
      <c r="L245" s="10">
        <v>15</v>
      </c>
      <c r="M245" s="10">
        <v>15</v>
      </c>
    </row>
    <row r="246" spans="1:13" ht="16.5" customHeight="1" x14ac:dyDescent="0.3">
      <c r="A246" s="7">
        <v>3475</v>
      </c>
      <c r="B246" s="7" t="s">
        <v>261</v>
      </c>
      <c r="C246" s="7" t="s">
        <v>22</v>
      </c>
      <c r="D246" s="9">
        <v>45592</v>
      </c>
      <c r="E246" s="7" t="s">
        <v>23</v>
      </c>
      <c r="F246" s="10">
        <v>5</v>
      </c>
      <c r="G246" s="7" t="s">
        <v>20</v>
      </c>
      <c r="H246" s="7" t="s">
        <v>23</v>
      </c>
      <c r="I246" s="10" t="s">
        <v>310</v>
      </c>
      <c r="J246" s="7" t="s">
        <v>23</v>
      </c>
      <c r="K246" s="10">
        <v>0</v>
      </c>
      <c r="L246" s="10">
        <v>1</v>
      </c>
      <c r="M246" s="10">
        <v>4</v>
      </c>
    </row>
    <row r="247" spans="1:13" ht="16.5" customHeight="1" x14ac:dyDescent="0.3">
      <c r="A247" s="7">
        <v>3476</v>
      </c>
      <c r="B247" s="7" t="s">
        <v>262</v>
      </c>
      <c r="C247" s="7" t="s">
        <v>18</v>
      </c>
      <c r="D247" s="9">
        <v>45593</v>
      </c>
      <c r="E247" s="7" t="s">
        <v>19</v>
      </c>
      <c r="F247" s="10">
        <v>15</v>
      </c>
      <c r="G247" s="7" t="s">
        <v>27</v>
      </c>
      <c r="H247" s="7" t="s">
        <v>19</v>
      </c>
      <c r="I247" s="10">
        <v>30</v>
      </c>
      <c r="J247" s="7" t="s">
        <v>19</v>
      </c>
      <c r="K247" s="10">
        <v>20</v>
      </c>
      <c r="L247" s="10">
        <v>7</v>
      </c>
      <c r="M247" s="10">
        <v>58</v>
      </c>
    </row>
    <row r="248" spans="1:13" ht="16.5" customHeight="1" x14ac:dyDescent="0.3">
      <c r="A248" s="7">
        <v>3477</v>
      </c>
      <c r="B248" s="7" t="s">
        <v>263</v>
      </c>
      <c r="C248" s="7" t="s">
        <v>26</v>
      </c>
      <c r="D248" s="9">
        <v>45594</v>
      </c>
      <c r="E248" s="7" t="s">
        <v>23</v>
      </c>
      <c r="F248" s="10">
        <v>10</v>
      </c>
      <c r="G248" s="7" t="s">
        <v>20</v>
      </c>
      <c r="H248" s="7" t="s">
        <v>23</v>
      </c>
      <c r="I248" s="10" t="s">
        <v>310</v>
      </c>
      <c r="J248" s="7" t="s">
        <v>19</v>
      </c>
      <c r="K248" s="10">
        <v>20</v>
      </c>
      <c r="L248" s="10">
        <v>10</v>
      </c>
      <c r="M248" s="10">
        <v>20</v>
      </c>
    </row>
    <row r="249" spans="1:13" ht="16.5" customHeight="1" x14ac:dyDescent="0.3">
      <c r="A249" s="7">
        <v>3478</v>
      </c>
      <c r="B249" s="7" t="s">
        <v>264</v>
      </c>
      <c r="C249" s="7" t="s">
        <v>22</v>
      </c>
      <c r="D249" s="9">
        <v>45595</v>
      </c>
      <c r="E249" s="7" t="s">
        <v>19</v>
      </c>
      <c r="F249" s="10">
        <v>5</v>
      </c>
      <c r="G249" s="7" t="s">
        <v>24</v>
      </c>
      <c r="H249" s="7" t="s">
        <v>23</v>
      </c>
      <c r="I249" s="10" t="s">
        <v>310</v>
      </c>
      <c r="J249" s="7" t="s">
        <v>23</v>
      </c>
      <c r="K249" s="10">
        <v>0</v>
      </c>
      <c r="L249" s="10">
        <v>0</v>
      </c>
      <c r="M249" s="10">
        <v>5</v>
      </c>
    </row>
    <row r="250" spans="1:13" ht="16.5" customHeight="1" x14ac:dyDescent="0.3">
      <c r="A250" s="7">
        <v>3479</v>
      </c>
      <c r="B250" s="7" t="s">
        <v>265</v>
      </c>
      <c r="C250" s="7" t="s">
        <v>18</v>
      </c>
      <c r="D250" s="9">
        <v>45596</v>
      </c>
      <c r="E250" s="7" t="s">
        <v>23</v>
      </c>
      <c r="F250" s="10">
        <v>15</v>
      </c>
      <c r="G250" s="7" t="s">
        <v>20</v>
      </c>
      <c r="H250" s="7" t="s">
        <v>19</v>
      </c>
      <c r="I250" s="10">
        <v>30</v>
      </c>
      <c r="J250" s="7" t="s">
        <v>19</v>
      </c>
      <c r="K250" s="10">
        <v>20</v>
      </c>
      <c r="L250" s="10">
        <v>20</v>
      </c>
      <c r="M250" s="10">
        <v>45</v>
      </c>
    </row>
    <row r="251" spans="1:13" ht="16.5" customHeight="1" x14ac:dyDescent="0.3">
      <c r="A251" s="7">
        <v>3480</v>
      </c>
      <c r="B251" s="7" t="s">
        <v>266</v>
      </c>
      <c r="C251" s="7" t="s">
        <v>26</v>
      </c>
      <c r="D251" s="9">
        <v>45597</v>
      </c>
      <c r="E251" s="7" t="s">
        <v>19</v>
      </c>
      <c r="F251" s="10">
        <v>10</v>
      </c>
      <c r="G251" s="7" t="s">
        <v>27</v>
      </c>
      <c r="H251" s="7" t="s">
        <v>23</v>
      </c>
      <c r="I251" s="10" t="s">
        <v>310</v>
      </c>
      <c r="J251" s="7" t="s">
        <v>19</v>
      </c>
      <c r="K251" s="10">
        <v>20</v>
      </c>
      <c r="L251" s="10">
        <v>15</v>
      </c>
      <c r="M251" s="10">
        <v>15</v>
      </c>
    </row>
    <row r="252" spans="1:13" ht="16.5" customHeight="1" x14ac:dyDescent="0.3">
      <c r="A252" s="7">
        <v>3481</v>
      </c>
      <c r="B252" s="7" t="s">
        <v>267</v>
      </c>
      <c r="C252" s="7" t="s">
        <v>22</v>
      </c>
      <c r="D252" s="9">
        <v>45598</v>
      </c>
      <c r="E252" s="7" t="s">
        <v>23</v>
      </c>
      <c r="F252" s="10">
        <v>5</v>
      </c>
      <c r="G252" s="7" t="s">
        <v>20</v>
      </c>
      <c r="H252" s="7" t="s">
        <v>23</v>
      </c>
      <c r="I252" s="10" t="s">
        <v>310</v>
      </c>
      <c r="J252" s="7" t="s">
        <v>23</v>
      </c>
      <c r="K252" s="10">
        <v>0</v>
      </c>
      <c r="L252" s="10">
        <v>1</v>
      </c>
      <c r="M252" s="10">
        <v>4</v>
      </c>
    </row>
    <row r="253" spans="1:13" ht="16.5" customHeight="1" x14ac:dyDescent="0.3">
      <c r="A253" s="7">
        <v>3482</v>
      </c>
      <c r="B253" s="7" t="s">
        <v>268</v>
      </c>
      <c r="C253" s="7" t="s">
        <v>18</v>
      </c>
      <c r="D253" s="9">
        <v>45599</v>
      </c>
      <c r="E253" s="7" t="s">
        <v>19</v>
      </c>
      <c r="F253" s="10">
        <v>15</v>
      </c>
      <c r="G253" s="7" t="s">
        <v>24</v>
      </c>
      <c r="H253" s="7" t="s">
        <v>19</v>
      </c>
      <c r="I253" s="10">
        <v>30</v>
      </c>
      <c r="J253" s="7" t="s">
        <v>19</v>
      </c>
      <c r="K253" s="10">
        <v>20</v>
      </c>
      <c r="L253" s="10">
        <v>3</v>
      </c>
      <c r="M253" s="10">
        <v>62</v>
      </c>
    </row>
    <row r="254" spans="1:13" ht="16.5" customHeight="1" x14ac:dyDescent="0.3">
      <c r="A254" s="7">
        <v>3483</v>
      </c>
      <c r="B254" s="7" t="s">
        <v>269</v>
      </c>
      <c r="C254" s="7" t="s">
        <v>26</v>
      </c>
      <c r="D254" s="9">
        <v>45600</v>
      </c>
      <c r="E254" s="7" t="s">
        <v>23</v>
      </c>
      <c r="F254" s="10">
        <v>10</v>
      </c>
      <c r="G254" s="7" t="s">
        <v>20</v>
      </c>
      <c r="H254" s="7" t="s">
        <v>23</v>
      </c>
      <c r="I254" s="10" t="s">
        <v>310</v>
      </c>
      <c r="J254" s="7" t="s">
        <v>19</v>
      </c>
      <c r="K254" s="10">
        <v>20</v>
      </c>
      <c r="L254" s="10">
        <v>10</v>
      </c>
      <c r="M254" s="10">
        <v>20</v>
      </c>
    </row>
    <row r="255" spans="1:13" ht="16.5" customHeight="1" x14ac:dyDescent="0.3">
      <c r="A255" s="7">
        <v>3484</v>
      </c>
      <c r="B255" s="7" t="s">
        <v>270</v>
      </c>
      <c r="C255" s="7" t="s">
        <v>22</v>
      </c>
      <c r="D255" s="9">
        <v>45601</v>
      </c>
      <c r="E255" s="7" t="s">
        <v>19</v>
      </c>
      <c r="F255" s="10">
        <v>5</v>
      </c>
      <c r="G255" s="7" t="s">
        <v>27</v>
      </c>
      <c r="H255" s="7" t="s">
        <v>23</v>
      </c>
      <c r="I255" s="10" t="s">
        <v>310</v>
      </c>
      <c r="J255" s="7" t="s">
        <v>23</v>
      </c>
      <c r="K255" s="10">
        <v>0</v>
      </c>
      <c r="L255" s="10">
        <v>0</v>
      </c>
      <c r="M255" s="10">
        <v>5</v>
      </c>
    </row>
    <row r="256" spans="1:13" ht="16.5" customHeight="1" x14ac:dyDescent="0.3">
      <c r="A256" s="7">
        <v>3485</v>
      </c>
      <c r="B256" s="7" t="s">
        <v>271</v>
      </c>
      <c r="C256" s="7" t="s">
        <v>18</v>
      </c>
      <c r="D256" s="9">
        <v>45602</v>
      </c>
      <c r="E256" s="7" t="s">
        <v>23</v>
      </c>
      <c r="F256" s="10">
        <v>15</v>
      </c>
      <c r="G256" s="7" t="s">
        <v>20</v>
      </c>
      <c r="H256" s="7" t="s">
        <v>19</v>
      </c>
      <c r="I256" s="10">
        <v>30</v>
      </c>
      <c r="J256" s="7" t="s">
        <v>19</v>
      </c>
      <c r="K256" s="10">
        <v>20</v>
      </c>
      <c r="L256" s="10">
        <v>15</v>
      </c>
      <c r="M256" s="10">
        <v>50</v>
      </c>
    </row>
    <row r="257" spans="1:13" ht="16.5" customHeight="1" x14ac:dyDescent="0.3">
      <c r="A257" s="7">
        <v>3486</v>
      </c>
      <c r="B257" s="7" t="s">
        <v>272</v>
      </c>
      <c r="C257" s="7" t="s">
        <v>22</v>
      </c>
      <c r="D257" s="9">
        <v>45603</v>
      </c>
      <c r="E257" s="7" t="s">
        <v>19</v>
      </c>
      <c r="F257" s="10">
        <v>5</v>
      </c>
      <c r="G257" s="7" t="s">
        <v>20</v>
      </c>
      <c r="H257" s="7" t="s">
        <v>23</v>
      </c>
      <c r="I257" s="10" t="s">
        <v>310</v>
      </c>
      <c r="J257" s="7" t="s">
        <v>23</v>
      </c>
      <c r="K257" s="10">
        <v>0</v>
      </c>
      <c r="L257" s="10">
        <v>0</v>
      </c>
      <c r="M257" s="10">
        <v>5</v>
      </c>
    </row>
    <row r="258" spans="1:13" ht="16.5" customHeight="1" x14ac:dyDescent="0.3">
      <c r="A258" s="7">
        <v>3487</v>
      </c>
      <c r="B258" s="7" t="s">
        <v>273</v>
      </c>
      <c r="C258" s="7" t="s">
        <v>18</v>
      </c>
      <c r="D258" s="9">
        <v>45604</v>
      </c>
      <c r="E258" s="7" t="s">
        <v>23</v>
      </c>
      <c r="F258" s="10">
        <v>15</v>
      </c>
      <c r="G258" s="7" t="s">
        <v>27</v>
      </c>
      <c r="H258" s="7" t="s">
        <v>19</v>
      </c>
      <c r="I258" s="10">
        <v>30</v>
      </c>
      <c r="J258" s="7" t="s">
        <v>19</v>
      </c>
      <c r="K258" s="10">
        <v>20</v>
      </c>
      <c r="L258" s="10">
        <v>7</v>
      </c>
      <c r="M258" s="10">
        <v>58</v>
      </c>
    </row>
    <row r="259" spans="1:13" ht="16.5" customHeight="1" x14ac:dyDescent="0.3">
      <c r="A259" s="7">
        <v>3488</v>
      </c>
      <c r="B259" s="7" t="s">
        <v>274</v>
      </c>
      <c r="C259" s="7" t="s">
        <v>26</v>
      </c>
      <c r="D259" s="9">
        <v>45605</v>
      </c>
      <c r="E259" s="7" t="s">
        <v>19</v>
      </c>
      <c r="F259" s="10">
        <v>10</v>
      </c>
      <c r="G259" s="7" t="s">
        <v>24</v>
      </c>
      <c r="H259" s="7" t="s">
        <v>23</v>
      </c>
      <c r="I259" s="10" t="s">
        <v>310</v>
      </c>
      <c r="J259" s="7" t="s">
        <v>19</v>
      </c>
      <c r="K259" s="10">
        <v>20</v>
      </c>
      <c r="L259" s="10">
        <v>10</v>
      </c>
      <c r="M259" s="10">
        <v>20</v>
      </c>
    </row>
    <row r="260" spans="1:13" ht="16.5" customHeight="1" x14ac:dyDescent="0.3">
      <c r="A260" s="7">
        <v>3489</v>
      </c>
      <c r="B260" s="7" t="s">
        <v>275</v>
      </c>
      <c r="C260" s="7" t="s">
        <v>22</v>
      </c>
      <c r="D260" s="9">
        <v>45606</v>
      </c>
      <c r="E260" s="7" t="s">
        <v>23</v>
      </c>
      <c r="F260" s="10">
        <v>5</v>
      </c>
      <c r="G260" s="7" t="s">
        <v>27</v>
      </c>
      <c r="H260" s="7" t="s">
        <v>23</v>
      </c>
      <c r="I260" s="10" t="s">
        <v>310</v>
      </c>
      <c r="J260" s="7" t="s">
        <v>23</v>
      </c>
      <c r="K260" s="10">
        <v>0</v>
      </c>
      <c r="L260" s="10">
        <v>1</v>
      </c>
      <c r="M260" s="10">
        <v>4</v>
      </c>
    </row>
    <row r="261" spans="1:13" ht="16.5" customHeight="1" x14ac:dyDescent="0.3">
      <c r="A261" s="7">
        <v>3490</v>
      </c>
      <c r="B261" s="7" t="s">
        <v>276</v>
      </c>
      <c r="C261" s="7" t="s">
        <v>18</v>
      </c>
      <c r="D261" s="9">
        <v>45607</v>
      </c>
      <c r="E261" s="7" t="s">
        <v>19</v>
      </c>
      <c r="F261" s="10">
        <v>15</v>
      </c>
      <c r="G261" s="7" t="s">
        <v>20</v>
      </c>
      <c r="H261" s="7" t="s">
        <v>19</v>
      </c>
      <c r="I261" s="10">
        <v>30</v>
      </c>
      <c r="J261" s="7" t="s">
        <v>19</v>
      </c>
      <c r="K261" s="10">
        <v>20</v>
      </c>
      <c r="L261" s="10">
        <v>15</v>
      </c>
      <c r="M261" s="10">
        <v>50</v>
      </c>
    </row>
    <row r="262" spans="1:13" ht="16.5" customHeight="1" x14ac:dyDescent="0.3">
      <c r="A262" s="7">
        <v>3491</v>
      </c>
      <c r="B262" s="7" t="s">
        <v>277</v>
      </c>
      <c r="C262" s="7" t="s">
        <v>26</v>
      </c>
      <c r="D262" s="9">
        <v>45608</v>
      </c>
      <c r="E262" s="7" t="s">
        <v>23</v>
      </c>
      <c r="F262" s="10">
        <v>10</v>
      </c>
      <c r="G262" s="7" t="s">
        <v>20</v>
      </c>
      <c r="H262" s="7" t="s">
        <v>23</v>
      </c>
      <c r="I262" s="10" t="s">
        <v>310</v>
      </c>
      <c r="J262" s="7" t="s">
        <v>19</v>
      </c>
      <c r="K262" s="10">
        <v>20</v>
      </c>
      <c r="L262" s="10">
        <v>5</v>
      </c>
      <c r="M262" s="10">
        <v>25</v>
      </c>
    </row>
    <row r="263" spans="1:13" ht="16.5" customHeight="1" x14ac:dyDescent="0.3">
      <c r="A263" s="7">
        <v>3492</v>
      </c>
      <c r="B263" s="7" t="s">
        <v>278</v>
      </c>
      <c r="C263" s="7" t="s">
        <v>22</v>
      </c>
      <c r="D263" s="9">
        <v>45609</v>
      </c>
      <c r="E263" s="7" t="s">
        <v>19</v>
      </c>
      <c r="F263" s="10">
        <v>5</v>
      </c>
      <c r="G263" s="7" t="s">
        <v>24</v>
      </c>
      <c r="H263" s="7" t="s">
        <v>23</v>
      </c>
      <c r="I263" s="10" t="s">
        <v>310</v>
      </c>
      <c r="J263" s="7" t="s">
        <v>23</v>
      </c>
      <c r="K263" s="10">
        <v>0</v>
      </c>
      <c r="L263" s="10">
        <v>0</v>
      </c>
      <c r="M263" s="10">
        <v>5</v>
      </c>
    </row>
    <row r="264" spans="1:13" ht="16.5" customHeight="1" x14ac:dyDescent="0.3">
      <c r="A264" s="7">
        <v>3493</v>
      </c>
      <c r="B264" s="7" t="s">
        <v>279</v>
      </c>
      <c r="C264" s="7" t="s">
        <v>18</v>
      </c>
      <c r="D264" s="9">
        <v>45610</v>
      </c>
      <c r="E264" s="7" t="s">
        <v>23</v>
      </c>
      <c r="F264" s="10">
        <v>15</v>
      </c>
      <c r="G264" s="7" t="s">
        <v>27</v>
      </c>
      <c r="H264" s="7" t="s">
        <v>19</v>
      </c>
      <c r="I264" s="10">
        <v>30</v>
      </c>
      <c r="J264" s="7" t="s">
        <v>19</v>
      </c>
      <c r="K264" s="10">
        <v>20</v>
      </c>
      <c r="L264" s="10">
        <v>20</v>
      </c>
      <c r="M264" s="10">
        <v>45</v>
      </c>
    </row>
    <row r="265" spans="1:13" ht="16.5" customHeight="1" x14ac:dyDescent="0.3">
      <c r="A265" s="7">
        <v>3494</v>
      </c>
      <c r="B265" s="7" t="s">
        <v>280</v>
      </c>
      <c r="C265" s="7" t="s">
        <v>26</v>
      </c>
      <c r="D265" s="9">
        <v>45611</v>
      </c>
      <c r="E265" s="7" t="s">
        <v>19</v>
      </c>
      <c r="F265" s="10">
        <v>10</v>
      </c>
      <c r="G265" s="7" t="s">
        <v>27</v>
      </c>
      <c r="H265" s="7" t="s">
        <v>23</v>
      </c>
      <c r="I265" s="10" t="s">
        <v>310</v>
      </c>
      <c r="J265" s="7" t="s">
        <v>19</v>
      </c>
      <c r="K265" s="10">
        <v>20</v>
      </c>
      <c r="L265" s="10">
        <v>12</v>
      </c>
      <c r="M265" s="10">
        <v>18</v>
      </c>
    </row>
    <row r="266" spans="1:13" ht="16.5" customHeight="1" x14ac:dyDescent="0.3">
      <c r="A266" s="7">
        <v>3495</v>
      </c>
      <c r="B266" s="7" t="s">
        <v>281</v>
      </c>
      <c r="C266" s="7" t="s">
        <v>22</v>
      </c>
      <c r="D266" s="9">
        <v>45612</v>
      </c>
      <c r="E266" s="7" t="s">
        <v>23</v>
      </c>
      <c r="F266" s="10">
        <v>5</v>
      </c>
      <c r="G266" s="7" t="s">
        <v>20</v>
      </c>
      <c r="H266" s="7" t="s">
        <v>23</v>
      </c>
      <c r="I266" s="10" t="s">
        <v>310</v>
      </c>
      <c r="J266" s="7" t="s">
        <v>23</v>
      </c>
      <c r="K266" s="10">
        <v>0</v>
      </c>
      <c r="L266" s="10">
        <v>2</v>
      </c>
      <c r="M266" s="10">
        <v>3</v>
      </c>
    </row>
    <row r="267" spans="1:13" ht="16.5" customHeight="1" x14ac:dyDescent="0.3">
      <c r="A267" s="7">
        <v>3496</v>
      </c>
      <c r="B267" s="7" t="s">
        <v>282</v>
      </c>
      <c r="C267" s="7" t="s">
        <v>18</v>
      </c>
      <c r="D267" s="9">
        <v>45613</v>
      </c>
      <c r="E267" s="7" t="s">
        <v>19</v>
      </c>
      <c r="F267" s="10">
        <v>15</v>
      </c>
      <c r="G267" s="7" t="s">
        <v>24</v>
      </c>
      <c r="H267" s="7" t="s">
        <v>19</v>
      </c>
      <c r="I267" s="10">
        <v>30</v>
      </c>
      <c r="J267" s="7" t="s">
        <v>19</v>
      </c>
      <c r="K267" s="10">
        <v>20</v>
      </c>
      <c r="L267" s="10">
        <v>5</v>
      </c>
      <c r="M267" s="10">
        <v>60</v>
      </c>
    </row>
    <row r="268" spans="1:13" ht="16.5" customHeight="1" x14ac:dyDescent="0.3">
      <c r="A268" s="7">
        <v>3497</v>
      </c>
      <c r="B268" s="7" t="s">
        <v>283</v>
      </c>
      <c r="C268" s="7" t="s">
        <v>26</v>
      </c>
      <c r="D268" s="9">
        <v>45614</v>
      </c>
      <c r="E268" s="7" t="s">
        <v>23</v>
      </c>
      <c r="F268" s="10">
        <v>10</v>
      </c>
      <c r="G268" s="7" t="s">
        <v>20</v>
      </c>
      <c r="H268" s="7" t="s">
        <v>23</v>
      </c>
      <c r="I268" s="10" t="s">
        <v>310</v>
      </c>
      <c r="J268" s="7" t="s">
        <v>19</v>
      </c>
      <c r="K268" s="10">
        <v>20</v>
      </c>
      <c r="L268" s="10">
        <v>10</v>
      </c>
      <c r="M268" s="10">
        <v>20</v>
      </c>
    </row>
    <row r="269" spans="1:13" ht="16.5" customHeight="1" x14ac:dyDescent="0.3">
      <c r="A269" s="7">
        <v>3498</v>
      </c>
      <c r="B269" s="7" t="s">
        <v>284</v>
      </c>
      <c r="C269" s="7" t="s">
        <v>22</v>
      </c>
      <c r="D269" s="9">
        <v>45615</v>
      </c>
      <c r="E269" s="7" t="s">
        <v>19</v>
      </c>
      <c r="F269" s="10">
        <v>5</v>
      </c>
      <c r="G269" s="7" t="s">
        <v>27</v>
      </c>
      <c r="H269" s="7" t="s">
        <v>23</v>
      </c>
      <c r="I269" s="10" t="s">
        <v>310</v>
      </c>
      <c r="J269" s="7" t="s">
        <v>23</v>
      </c>
      <c r="K269" s="10">
        <v>0</v>
      </c>
      <c r="L269" s="10">
        <v>0</v>
      </c>
      <c r="M269" s="10">
        <v>5</v>
      </c>
    </row>
    <row r="270" spans="1:13" ht="16.5" customHeight="1" x14ac:dyDescent="0.3">
      <c r="A270" s="7">
        <v>3499</v>
      </c>
      <c r="B270" s="7" t="s">
        <v>285</v>
      </c>
      <c r="C270" s="7" t="s">
        <v>18</v>
      </c>
      <c r="D270" s="9">
        <v>45616</v>
      </c>
      <c r="E270" s="7" t="s">
        <v>23</v>
      </c>
      <c r="F270" s="10">
        <v>15</v>
      </c>
      <c r="G270" s="7" t="s">
        <v>20</v>
      </c>
      <c r="H270" s="7" t="s">
        <v>19</v>
      </c>
      <c r="I270" s="10">
        <v>30</v>
      </c>
      <c r="J270" s="7" t="s">
        <v>19</v>
      </c>
      <c r="K270" s="10">
        <v>20</v>
      </c>
      <c r="L270" s="10">
        <v>3</v>
      </c>
      <c r="M270" s="10">
        <v>62</v>
      </c>
    </row>
    <row r="271" spans="1:13" ht="16.5" customHeight="1" x14ac:dyDescent="0.3">
      <c r="A271" s="7">
        <v>3500</v>
      </c>
      <c r="B271" s="7" t="s">
        <v>286</v>
      </c>
      <c r="C271" s="7" t="s">
        <v>26</v>
      </c>
      <c r="D271" s="9">
        <v>45617</v>
      </c>
      <c r="E271" s="7" t="s">
        <v>19</v>
      </c>
      <c r="F271" s="10">
        <v>10</v>
      </c>
      <c r="G271" s="7" t="s">
        <v>24</v>
      </c>
      <c r="H271" s="7" t="s">
        <v>23</v>
      </c>
      <c r="I271" s="10" t="s">
        <v>310</v>
      </c>
      <c r="J271" s="7" t="s">
        <v>19</v>
      </c>
      <c r="K271" s="10">
        <v>20</v>
      </c>
      <c r="L271" s="10">
        <v>15</v>
      </c>
      <c r="M271" s="10">
        <v>15</v>
      </c>
    </row>
    <row r="272" spans="1:13" ht="16.5" customHeight="1" x14ac:dyDescent="0.3">
      <c r="A272" s="7">
        <v>3501</v>
      </c>
      <c r="B272" s="7" t="s">
        <v>287</v>
      </c>
      <c r="C272" s="7" t="s">
        <v>22</v>
      </c>
      <c r="D272" s="9">
        <v>45618</v>
      </c>
      <c r="E272" s="7" t="s">
        <v>23</v>
      </c>
      <c r="F272" s="10">
        <v>5</v>
      </c>
      <c r="G272" s="7" t="s">
        <v>20</v>
      </c>
      <c r="H272" s="7" t="s">
        <v>23</v>
      </c>
      <c r="I272" s="10" t="s">
        <v>310</v>
      </c>
      <c r="J272" s="7" t="s">
        <v>23</v>
      </c>
      <c r="K272" s="10">
        <v>0</v>
      </c>
      <c r="L272" s="10">
        <v>1</v>
      </c>
      <c r="M272" s="10">
        <v>4</v>
      </c>
    </row>
    <row r="273" spans="1:13" ht="16.5" customHeight="1" x14ac:dyDescent="0.3">
      <c r="A273" s="7">
        <v>3502</v>
      </c>
      <c r="B273" s="7" t="s">
        <v>288</v>
      </c>
      <c r="C273" s="7" t="s">
        <v>18</v>
      </c>
      <c r="D273" s="9">
        <v>45619</v>
      </c>
      <c r="E273" s="7" t="s">
        <v>19</v>
      </c>
      <c r="F273" s="10">
        <v>15</v>
      </c>
      <c r="G273" s="7" t="s">
        <v>27</v>
      </c>
      <c r="H273" s="7" t="s">
        <v>19</v>
      </c>
      <c r="I273" s="10">
        <v>30</v>
      </c>
      <c r="J273" s="7" t="s">
        <v>19</v>
      </c>
      <c r="K273" s="10">
        <v>20</v>
      </c>
      <c r="L273" s="10">
        <v>7</v>
      </c>
      <c r="M273" s="10">
        <v>58</v>
      </c>
    </row>
    <row r="274" spans="1:13" ht="16.5" customHeight="1" x14ac:dyDescent="0.3">
      <c r="A274" s="7">
        <v>3503</v>
      </c>
      <c r="B274" s="7" t="s">
        <v>148</v>
      </c>
      <c r="C274" s="7" t="s">
        <v>26</v>
      </c>
      <c r="D274" s="9">
        <v>45620</v>
      </c>
      <c r="E274" s="7" t="s">
        <v>23</v>
      </c>
      <c r="F274" s="10">
        <v>10</v>
      </c>
      <c r="G274" s="7" t="s">
        <v>20</v>
      </c>
      <c r="H274" s="7" t="s">
        <v>23</v>
      </c>
      <c r="I274" s="10" t="s">
        <v>310</v>
      </c>
      <c r="J274" s="7" t="s">
        <v>19</v>
      </c>
      <c r="K274" s="10">
        <v>20</v>
      </c>
      <c r="L274" s="10">
        <v>10</v>
      </c>
      <c r="M274" s="10">
        <v>20</v>
      </c>
    </row>
    <row r="275" spans="1:13" ht="16.5" customHeight="1" x14ac:dyDescent="0.3">
      <c r="A275" s="7">
        <v>3504</v>
      </c>
      <c r="B275" s="7" t="s">
        <v>289</v>
      </c>
      <c r="C275" s="7" t="s">
        <v>22</v>
      </c>
      <c r="D275" s="9">
        <v>45621</v>
      </c>
      <c r="E275" s="7" t="s">
        <v>19</v>
      </c>
      <c r="F275" s="10">
        <v>5</v>
      </c>
      <c r="G275" s="7" t="s">
        <v>24</v>
      </c>
      <c r="H275" s="7" t="s">
        <v>23</v>
      </c>
      <c r="I275" s="10" t="s">
        <v>310</v>
      </c>
      <c r="J275" s="7" t="s">
        <v>23</v>
      </c>
      <c r="K275" s="10">
        <v>0</v>
      </c>
      <c r="L275" s="10">
        <v>0</v>
      </c>
      <c r="M275" s="10">
        <v>5</v>
      </c>
    </row>
    <row r="276" spans="1:13" ht="16.5" customHeight="1" x14ac:dyDescent="0.3">
      <c r="A276" s="7">
        <v>3505</v>
      </c>
      <c r="B276" s="7" t="s">
        <v>290</v>
      </c>
      <c r="C276" s="7" t="s">
        <v>18</v>
      </c>
      <c r="D276" s="9">
        <v>45622</v>
      </c>
      <c r="E276" s="7" t="s">
        <v>23</v>
      </c>
      <c r="F276" s="10">
        <v>15</v>
      </c>
      <c r="G276" s="7" t="s">
        <v>20</v>
      </c>
      <c r="H276" s="7" t="s">
        <v>19</v>
      </c>
      <c r="I276" s="10">
        <v>30</v>
      </c>
      <c r="J276" s="7" t="s">
        <v>19</v>
      </c>
      <c r="K276" s="10">
        <v>20</v>
      </c>
      <c r="L276" s="10">
        <v>20</v>
      </c>
      <c r="M276" s="10">
        <v>45</v>
      </c>
    </row>
    <row r="277" spans="1:13" ht="16.5" customHeight="1" x14ac:dyDescent="0.3">
      <c r="A277" s="7">
        <v>3506</v>
      </c>
      <c r="B277" s="7" t="s">
        <v>291</v>
      </c>
      <c r="C277" s="7" t="s">
        <v>26</v>
      </c>
      <c r="D277" s="9">
        <v>45623</v>
      </c>
      <c r="E277" s="7" t="s">
        <v>19</v>
      </c>
      <c r="F277" s="10">
        <v>10</v>
      </c>
      <c r="G277" s="7" t="s">
        <v>27</v>
      </c>
      <c r="H277" s="7" t="s">
        <v>23</v>
      </c>
      <c r="I277" s="10" t="s">
        <v>310</v>
      </c>
      <c r="J277" s="7" t="s">
        <v>19</v>
      </c>
      <c r="K277" s="10">
        <v>20</v>
      </c>
      <c r="L277" s="10">
        <v>15</v>
      </c>
      <c r="M277" s="10">
        <v>15</v>
      </c>
    </row>
    <row r="278" spans="1:13" ht="16.5" customHeight="1" x14ac:dyDescent="0.3">
      <c r="A278" s="7">
        <v>3507</v>
      </c>
      <c r="B278" s="7" t="s">
        <v>292</v>
      </c>
      <c r="C278" s="7" t="s">
        <v>22</v>
      </c>
      <c r="D278" s="9">
        <v>45624</v>
      </c>
      <c r="E278" s="7" t="s">
        <v>23</v>
      </c>
      <c r="F278" s="10">
        <v>5</v>
      </c>
      <c r="G278" s="7" t="s">
        <v>20</v>
      </c>
      <c r="H278" s="7" t="s">
        <v>23</v>
      </c>
      <c r="I278" s="10" t="s">
        <v>310</v>
      </c>
      <c r="J278" s="7" t="s">
        <v>23</v>
      </c>
      <c r="K278" s="10">
        <v>0</v>
      </c>
      <c r="L278" s="10">
        <v>1</v>
      </c>
      <c r="M278" s="10">
        <v>4</v>
      </c>
    </row>
    <row r="279" spans="1:13" ht="16.5" customHeight="1" x14ac:dyDescent="0.3">
      <c r="A279" s="7">
        <v>3508</v>
      </c>
      <c r="B279" s="7" t="s">
        <v>293</v>
      </c>
      <c r="C279" s="7" t="s">
        <v>18</v>
      </c>
      <c r="D279" s="9">
        <v>45625</v>
      </c>
      <c r="E279" s="7" t="s">
        <v>19</v>
      </c>
      <c r="F279" s="10">
        <v>15</v>
      </c>
      <c r="G279" s="7" t="s">
        <v>24</v>
      </c>
      <c r="H279" s="7" t="s">
        <v>19</v>
      </c>
      <c r="I279" s="10">
        <v>30</v>
      </c>
      <c r="J279" s="7" t="s">
        <v>19</v>
      </c>
      <c r="K279" s="10">
        <v>20</v>
      </c>
      <c r="L279" s="10">
        <v>3</v>
      </c>
      <c r="M279" s="10">
        <v>62</v>
      </c>
    </row>
    <row r="280" spans="1:13" ht="16.5" customHeight="1" x14ac:dyDescent="0.3">
      <c r="A280" s="7">
        <v>3509</v>
      </c>
      <c r="B280" s="7" t="s">
        <v>294</v>
      </c>
      <c r="C280" s="7" t="s">
        <v>26</v>
      </c>
      <c r="D280" s="9">
        <v>45626</v>
      </c>
      <c r="E280" s="7" t="s">
        <v>23</v>
      </c>
      <c r="F280" s="10">
        <v>10</v>
      </c>
      <c r="G280" s="7" t="s">
        <v>20</v>
      </c>
      <c r="H280" s="7" t="s">
        <v>23</v>
      </c>
      <c r="I280" s="10" t="s">
        <v>310</v>
      </c>
      <c r="J280" s="7" t="s">
        <v>19</v>
      </c>
      <c r="K280" s="10">
        <v>20</v>
      </c>
      <c r="L280" s="10">
        <v>10</v>
      </c>
      <c r="M280" s="10">
        <v>20</v>
      </c>
    </row>
    <row r="281" spans="1:13" ht="16.5" customHeight="1" x14ac:dyDescent="0.3">
      <c r="A281" s="7">
        <v>3510</v>
      </c>
      <c r="B281" s="7" t="s">
        <v>295</v>
      </c>
      <c r="C281" s="7" t="s">
        <v>22</v>
      </c>
      <c r="D281" s="9">
        <v>45627</v>
      </c>
      <c r="E281" s="7" t="s">
        <v>19</v>
      </c>
      <c r="F281" s="10">
        <v>5</v>
      </c>
      <c r="G281" s="7" t="s">
        <v>27</v>
      </c>
      <c r="H281" s="7" t="s">
        <v>23</v>
      </c>
      <c r="I281" s="10" t="s">
        <v>310</v>
      </c>
      <c r="J281" s="7" t="s">
        <v>23</v>
      </c>
      <c r="K281" s="10">
        <v>0</v>
      </c>
      <c r="L281" s="10">
        <v>0</v>
      </c>
      <c r="M281" s="10">
        <v>5</v>
      </c>
    </row>
    <row r="282" spans="1:13" ht="16.5" customHeight="1" x14ac:dyDescent="0.3">
      <c r="A282" s="7">
        <v>3511</v>
      </c>
      <c r="B282" s="7" t="s">
        <v>296</v>
      </c>
      <c r="C282" s="7" t="s">
        <v>18</v>
      </c>
      <c r="D282" s="9">
        <v>45628</v>
      </c>
      <c r="E282" s="7" t="s">
        <v>23</v>
      </c>
      <c r="F282" s="10">
        <v>15</v>
      </c>
      <c r="G282" s="7" t="s">
        <v>20</v>
      </c>
      <c r="H282" s="7" t="s">
        <v>19</v>
      </c>
      <c r="I282" s="10">
        <v>30</v>
      </c>
      <c r="J282" s="7" t="s">
        <v>19</v>
      </c>
      <c r="K282" s="10">
        <v>20</v>
      </c>
      <c r="L282" s="10">
        <v>15</v>
      </c>
      <c r="M282" s="10">
        <v>50</v>
      </c>
    </row>
    <row r="283" spans="1:13" ht="16.5" customHeight="1" x14ac:dyDescent="0.3">
      <c r="A283" s="7">
        <v>3512</v>
      </c>
      <c r="B283" s="7" t="s">
        <v>297</v>
      </c>
      <c r="C283" s="7" t="s">
        <v>26</v>
      </c>
      <c r="D283" s="9">
        <v>45629</v>
      </c>
      <c r="E283" s="7" t="s">
        <v>19</v>
      </c>
      <c r="F283" s="10">
        <v>10</v>
      </c>
      <c r="G283" s="7" t="s">
        <v>24</v>
      </c>
      <c r="H283" s="7" t="s">
        <v>23</v>
      </c>
      <c r="I283" s="10" t="s">
        <v>310</v>
      </c>
      <c r="J283" s="7" t="s">
        <v>19</v>
      </c>
      <c r="K283" s="10">
        <v>20</v>
      </c>
      <c r="L283" s="10">
        <v>15</v>
      </c>
      <c r="M283" s="10">
        <v>15</v>
      </c>
    </row>
    <row r="284" spans="1:13" ht="16.5" customHeight="1" x14ac:dyDescent="0.3">
      <c r="A284" s="7">
        <v>3513</v>
      </c>
      <c r="B284" s="7" t="s">
        <v>298</v>
      </c>
      <c r="C284" s="7" t="s">
        <v>22</v>
      </c>
      <c r="D284" s="9">
        <v>45630</v>
      </c>
      <c r="E284" s="7" t="s">
        <v>23</v>
      </c>
      <c r="F284" s="10">
        <v>5</v>
      </c>
      <c r="G284" s="7" t="s">
        <v>20</v>
      </c>
      <c r="H284" s="7" t="s">
        <v>23</v>
      </c>
      <c r="I284" s="10" t="s">
        <v>310</v>
      </c>
      <c r="J284" s="7" t="s">
        <v>23</v>
      </c>
      <c r="K284" s="10">
        <v>0</v>
      </c>
      <c r="L284" s="10">
        <v>1</v>
      </c>
      <c r="M284" s="10">
        <v>4</v>
      </c>
    </row>
    <row r="285" spans="1:13" ht="16.5" customHeight="1" x14ac:dyDescent="0.3">
      <c r="A285" s="7">
        <v>3514</v>
      </c>
      <c r="B285" s="7" t="s">
        <v>299</v>
      </c>
      <c r="C285" s="7" t="s">
        <v>18</v>
      </c>
      <c r="D285" s="9">
        <v>45631</v>
      </c>
      <c r="E285" s="7" t="s">
        <v>19</v>
      </c>
      <c r="F285" s="10">
        <v>15</v>
      </c>
      <c r="G285" s="7" t="s">
        <v>27</v>
      </c>
      <c r="H285" s="7" t="s">
        <v>19</v>
      </c>
      <c r="I285" s="10">
        <v>30</v>
      </c>
      <c r="J285" s="7" t="s">
        <v>19</v>
      </c>
      <c r="K285" s="10">
        <v>20</v>
      </c>
      <c r="L285" s="10">
        <v>7</v>
      </c>
      <c r="M285" s="10">
        <v>58</v>
      </c>
    </row>
    <row r="286" spans="1:13" ht="16.5" customHeight="1" x14ac:dyDescent="0.3">
      <c r="A286" s="7">
        <v>3515</v>
      </c>
      <c r="B286" s="7" t="s">
        <v>158</v>
      </c>
      <c r="C286" s="7" t="s">
        <v>26</v>
      </c>
      <c r="D286" s="9">
        <v>45632</v>
      </c>
      <c r="E286" s="7" t="s">
        <v>23</v>
      </c>
      <c r="F286" s="10">
        <v>10</v>
      </c>
      <c r="G286" s="7" t="s">
        <v>20</v>
      </c>
      <c r="H286" s="7" t="s">
        <v>23</v>
      </c>
      <c r="I286" s="10" t="s">
        <v>310</v>
      </c>
      <c r="J286" s="7" t="s">
        <v>19</v>
      </c>
      <c r="K286" s="10">
        <v>20</v>
      </c>
      <c r="L286" s="10">
        <v>10</v>
      </c>
      <c r="M286" s="10">
        <v>20</v>
      </c>
    </row>
    <row r="287" spans="1:13" ht="16.5" customHeight="1" x14ac:dyDescent="0.3">
      <c r="A287" s="7">
        <v>3516</v>
      </c>
      <c r="B287" s="7" t="s">
        <v>159</v>
      </c>
      <c r="C287" s="7" t="s">
        <v>22</v>
      </c>
      <c r="D287" s="9">
        <v>45633</v>
      </c>
      <c r="E287" s="7" t="s">
        <v>19</v>
      </c>
      <c r="F287" s="10">
        <v>5</v>
      </c>
      <c r="G287" s="7" t="s">
        <v>24</v>
      </c>
      <c r="H287" s="7" t="s">
        <v>23</v>
      </c>
      <c r="I287" s="10" t="s">
        <v>310</v>
      </c>
      <c r="J287" s="7" t="s">
        <v>23</v>
      </c>
      <c r="K287" s="10">
        <v>0</v>
      </c>
      <c r="L287" s="10">
        <v>0</v>
      </c>
      <c r="M287" s="10">
        <v>5</v>
      </c>
    </row>
    <row r="288" spans="1:13" ht="16.5" customHeight="1" x14ac:dyDescent="0.3">
      <c r="A288" s="7">
        <v>3517</v>
      </c>
      <c r="B288" s="7" t="s">
        <v>209</v>
      </c>
      <c r="C288" s="7" t="s">
        <v>18</v>
      </c>
      <c r="D288" s="9">
        <v>45634</v>
      </c>
      <c r="E288" s="7" t="s">
        <v>23</v>
      </c>
      <c r="F288" s="10">
        <v>15</v>
      </c>
      <c r="G288" s="7" t="s">
        <v>20</v>
      </c>
      <c r="H288" s="7" t="s">
        <v>19</v>
      </c>
      <c r="I288" s="10">
        <v>30</v>
      </c>
      <c r="J288" s="7" t="s">
        <v>19</v>
      </c>
      <c r="K288" s="10">
        <v>20</v>
      </c>
      <c r="L288" s="10">
        <v>20</v>
      </c>
      <c r="M288" s="10">
        <v>45</v>
      </c>
    </row>
    <row r="289" spans="1:13" ht="16.5" customHeight="1" x14ac:dyDescent="0.3">
      <c r="A289" s="7">
        <v>3518</v>
      </c>
      <c r="B289" s="7" t="s">
        <v>300</v>
      </c>
      <c r="C289" s="7" t="s">
        <v>26</v>
      </c>
      <c r="D289" s="9">
        <v>45635</v>
      </c>
      <c r="E289" s="7" t="s">
        <v>19</v>
      </c>
      <c r="F289" s="10">
        <v>10</v>
      </c>
      <c r="G289" s="7" t="s">
        <v>27</v>
      </c>
      <c r="H289" s="7" t="s">
        <v>23</v>
      </c>
      <c r="I289" s="10" t="s">
        <v>310</v>
      </c>
      <c r="J289" s="7" t="s">
        <v>19</v>
      </c>
      <c r="K289" s="10">
        <v>20</v>
      </c>
      <c r="L289" s="10">
        <v>12</v>
      </c>
      <c r="M289" s="10">
        <v>18</v>
      </c>
    </row>
    <row r="290" spans="1:13" ht="16.5" customHeight="1" x14ac:dyDescent="0.3">
      <c r="A290" s="7">
        <v>3519</v>
      </c>
      <c r="B290" s="7" t="s">
        <v>301</v>
      </c>
      <c r="C290" s="7" t="s">
        <v>22</v>
      </c>
      <c r="D290" s="9">
        <v>45636</v>
      </c>
      <c r="E290" s="7" t="s">
        <v>23</v>
      </c>
      <c r="F290" s="10">
        <v>5</v>
      </c>
      <c r="G290" s="7" t="s">
        <v>20</v>
      </c>
      <c r="H290" s="7" t="s">
        <v>23</v>
      </c>
      <c r="I290" s="10" t="s">
        <v>310</v>
      </c>
      <c r="J290" s="7" t="s">
        <v>23</v>
      </c>
      <c r="K290" s="10">
        <v>0</v>
      </c>
      <c r="L290" s="10">
        <v>2</v>
      </c>
      <c r="M290" s="10">
        <v>3</v>
      </c>
    </row>
    <row r="291" spans="1:13" ht="16.5" customHeight="1" x14ac:dyDescent="0.3">
      <c r="A291" s="7">
        <v>3520</v>
      </c>
      <c r="B291" s="7" t="s">
        <v>302</v>
      </c>
      <c r="C291" s="7" t="s">
        <v>18</v>
      </c>
      <c r="D291" s="9">
        <v>45637</v>
      </c>
      <c r="E291" s="7" t="s">
        <v>19</v>
      </c>
      <c r="F291" s="10">
        <v>15</v>
      </c>
      <c r="G291" s="7" t="s">
        <v>24</v>
      </c>
      <c r="H291" s="7" t="s">
        <v>19</v>
      </c>
      <c r="I291" s="10">
        <v>30</v>
      </c>
      <c r="J291" s="7" t="s">
        <v>19</v>
      </c>
      <c r="K291" s="10">
        <v>20</v>
      </c>
      <c r="L291" s="10">
        <v>5</v>
      </c>
      <c r="M291" s="10">
        <v>60</v>
      </c>
    </row>
    <row r="292" spans="1:13" ht="16.5" customHeight="1" x14ac:dyDescent="0.3">
      <c r="A292" s="7">
        <v>3521</v>
      </c>
      <c r="B292" s="7" t="s">
        <v>303</v>
      </c>
      <c r="C292" s="7" t="s">
        <v>26</v>
      </c>
      <c r="D292" s="9">
        <v>45638</v>
      </c>
      <c r="E292" s="7" t="s">
        <v>23</v>
      </c>
      <c r="F292" s="10">
        <v>10</v>
      </c>
      <c r="G292" s="7" t="s">
        <v>20</v>
      </c>
      <c r="H292" s="7" t="s">
        <v>23</v>
      </c>
      <c r="I292" s="10" t="s">
        <v>310</v>
      </c>
      <c r="J292" s="7" t="s">
        <v>19</v>
      </c>
      <c r="K292" s="10">
        <v>20</v>
      </c>
      <c r="L292" s="10">
        <v>10</v>
      </c>
      <c r="M292" s="10">
        <v>20</v>
      </c>
    </row>
    <row r="293" spans="1:13" ht="16.5" customHeight="1" x14ac:dyDescent="0.3">
      <c r="A293" s="7">
        <v>3522</v>
      </c>
      <c r="B293" s="7" t="s">
        <v>304</v>
      </c>
      <c r="C293" s="7" t="s">
        <v>22</v>
      </c>
      <c r="D293" s="9">
        <v>45639</v>
      </c>
      <c r="E293" s="7" t="s">
        <v>19</v>
      </c>
      <c r="F293" s="10">
        <v>5</v>
      </c>
      <c r="G293" s="7" t="s">
        <v>27</v>
      </c>
      <c r="H293" s="7" t="s">
        <v>23</v>
      </c>
      <c r="I293" s="10" t="s">
        <v>310</v>
      </c>
      <c r="J293" s="7" t="s">
        <v>23</v>
      </c>
      <c r="K293" s="10">
        <v>0</v>
      </c>
      <c r="L293" s="10">
        <v>0</v>
      </c>
      <c r="M293" s="10">
        <v>5</v>
      </c>
    </row>
    <row r="294" spans="1:13" ht="16.5" customHeight="1" x14ac:dyDescent="0.3">
      <c r="A294" s="7">
        <v>3523</v>
      </c>
      <c r="B294" s="7" t="s">
        <v>305</v>
      </c>
      <c r="C294" s="7" t="s">
        <v>18</v>
      </c>
      <c r="D294" s="9">
        <v>45640</v>
      </c>
      <c r="E294" s="7" t="s">
        <v>23</v>
      </c>
      <c r="F294" s="10">
        <v>15</v>
      </c>
      <c r="G294" s="7" t="s">
        <v>20</v>
      </c>
      <c r="H294" s="7" t="s">
        <v>19</v>
      </c>
      <c r="I294" s="10">
        <v>30</v>
      </c>
      <c r="J294" s="7" t="s">
        <v>19</v>
      </c>
      <c r="K294" s="10">
        <v>20</v>
      </c>
      <c r="L294" s="10">
        <v>3</v>
      </c>
      <c r="M294" s="10">
        <v>62</v>
      </c>
    </row>
    <row r="295" spans="1:13" ht="16.5" customHeight="1" x14ac:dyDescent="0.3">
      <c r="A295" s="7">
        <v>3524</v>
      </c>
      <c r="B295" s="7" t="s">
        <v>306</v>
      </c>
      <c r="C295" s="7" t="s">
        <v>26</v>
      </c>
      <c r="D295" s="9">
        <v>45641</v>
      </c>
      <c r="E295" s="7" t="s">
        <v>19</v>
      </c>
      <c r="F295" s="10">
        <v>10</v>
      </c>
      <c r="G295" s="7" t="s">
        <v>24</v>
      </c>
      <c r="H295" s="7" t="s">
        <v>23</v>
      </c>
      <c r="I295" s="10" t="s">
        <v>310</v>
      </c>
      <c r="J295" s="7" t="s">
        <v>19</v>
      </c>
      <c r="K295" s="10">
        <v>20</v>
      </c>
      <c r="L295" s="10">
        <v>15</v>
      </c>
      <c r="M295" s="10">
        <v>15</v>
      </c>
    </row>
    <row r="296" spans="1:13" ht="16.5" customHeight="1" x14ac:dyDescent="0.3">
      <c r="A296" s="7">
        <v>3525</v>
      </c>
      <c r="B296" s="7" t="s">
        <v>307</v>
      </c>
      <c r="C296" s="7" t="s">
        <v>22</v>
      </c>
      <c r="D296" s="9">
        <v>45642</v>
      </c>
      <c r="E296" s="7" t="s">
        <v>23</v>
      </c>
      <c r="F296" s="10">
        <v>5</v>
      </c>
      <c r="G296" s="7" t="s">
        <v>20</v>
      </c>
      <c r="H296" s="7" t="s">
        <v>23</v>
      </c>
      <c r="I296" s="10" t="s">
        <v>310</v>
      </c>
      <c r="J296" s="7" t="s">
        <v>23</v>
      </c>
      <c r="K296" s="10">
        <v>0</v>
      </c>
      <c r="L296" s="10">
        <v>1</v>
      </c>
      <c r="M296" s="10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rgb="FF2AE6B1"/>
  </sheetPr>
  <dimension ref="B3:G47"/>
  <sheetViews>
    <sheetView showGridLines="0" topLeftCell="A18" workbookViewId="0">
      <selection activeCell="G47" sqref="G47"/>
    </sheetView>
  </sheetViews>
  <sheetFormatPr defaultRowHeight="14.4" x14ac:dyDescent="0.3"/>
  <cols>
    <col min="1" max="1" width="14.33203125" customWidth="1"/>
    <col min="2" max="2" width="14.21875" bestFit="1" customWidth="1"/>
    <col min="3" max="3" width="24.88671875" bestFit="1" customWidth="1"/>
    <col min="4" max="5" width="13.33203125" bestFit="1" customWidth="1"/>
    <col min="6" max="6" width="14.109375" bestFit="1" customWidth="1"/>
    <col min="7" max="8" width="13.88671875" bestFit="1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7" ht="17.399999999999999" x14ac:dyDescent="0.3">
      <c r="B3" s="16" t="s">
        <v>319</v>
      </c>
      <c r="C3" s="16"/>
      <c r="D3" s="16"/>
      <c r="E3" s="16"/>
      <c r="F3" s="16"/>
      <c r="G3" s="16"/>
    </row>
    <row r="4" spans="2:7" ht="17.399999999999999" x14ac:dyDescent="0.3">
      <c r="B4" s="16" t="s">
        <v>317</v>
      </c>
      <c r="C4" s="16"/>
      <c r="D4" s="16"/>
      <c r="E4" s="16"/>
      <c r="F4" s="16"/>
      <c r="G4" s="16"/>
    </row>
    <row r="5" spans="2:7" x14ac:dyDescent="0.3">
      <c r="B5" s="13"/>
      <c r="C5" s="13"/>
      <c r="D5" s="13"/>
      <c r="E5" s="13"/>
      <c r="F5" s="13"/>
      <c r="G5" s="13"/>
    </row>
    <row r="6" spans="2:7" x14ac:dyDescent="0.3">
      <c r="B6" s="13"/>
      <c r="C6" s="13"/>
      <c r="D6" s="13"/>
      <c r="E6" s="13"/>
      <c r="F6" s="13"/>
      <c r="G6" s="13"/>
    </row>
    <row r="7" spans="2:7" ht="20.100000000000001" customHeight="1" x14ac:dyDescent="0.3">
      <c r="B7" s="15" t="s">
        <v>318</v>
      </c>
      <c r="C7" s="15"/>
      <c r="D7" s="15"/>
      <c r="E7" s="15"/>
      <c r="F7" s="15"/>
      <c r="G7" s="15"/>
    </row>
    <row r="8" spans="2:7" ht="20.100000000000001" customHeight="1" x14ac:dyDescent="0.3">
      <c r="B8" s="15" t="s">
        <v>322</v>
      </c>
      <c r="C8" s="15"/>
      <c r="D8" s="15"/>
      <c r="E8" s="15"/>
      <c r="F8" s="15"/>
      <c r="G8" s="15"/>
    </row>
    <row r="9" spans="2:7" ht="20.100000000000001" customHeight="1" x14ac:dyDescent="0.3">
      <c r="B9" s="15" t="s">
        <v>323</v>
      </c>
      <c r="C9" s="15"/>
      <c r="D9" s="15"/>
      <c r="E9" s="15"/>
      <c r="F9" s="15"/>
      <c r="G9" s="15"/>
    </row>
    <row r="10" spans="2:7" ht="20.100000000000001" customHeight="1" x14ac:dyDescent="0.3">
      <c r="B10" s="13"/>
      <c r="C10" s="13"/>
      <c r="D10" s="13"/>
      <c r="E10" s="13"/>
      <c r="F10" s="13"/>
      <c r="G10" s="13"/>
    </row>
    <row r="11" spans="2:7" x14ac:dyDescent="0.3">
      <c r="B11" s="13"/>
      <c r="C11" s="13"/>
      <c r="D11" s="13"/>
      <c r="E11" s="13"/>
      <c r="F11" s="13"/>
      <c r="G11" s="13"/>
    </row>
    <row r="12" spans="2:7" x14ac:dyDescent="0.3">
      <c r="B12" s="37">
        <v>1</v>
      </c>
      <c r="C12" s="37"/>
      <c r="D12" s="13"/>
      <c r="E12" s="37"/>
      <c r="F12" s="37"/>
      <c r="G12" s="37"/>
    </row>
    <row r="13" spans="2:7" x14ac:dyDescent="0.3">
      <c r="B13" s="4" t="s">
        <v>313</v>
      </c>
      <c r="C13" s="4" t="s">
        <v>314</v>
      </c>
      <c r="D13" s="14"/>
    </row>
    <row r="14" spans="2:7" x14ac:dyDescent="0.3">
      <c r="B14" s="17" t="s">
        <v>24</v>
      </c>
      <c r="C14" s="18">
        <v>1754</v>
      </c>
      <c r="D14" s="13"/>
    </row>
    <row r="15" spans="2:7" x14ac:dyDescent="0.3">
      <c r="B15" s="19" t="s">
        <v>312</v>
      </c>
      <c r="C15" s="20">
        <v>1754</v>
      </c>
      <c r="D15" s="13"/>
    </row>
    <row r="23" spans="2:5" x14ac:dyDescent="0.3">
      <c r="B23" s="13" t="s">
        <v>321</v>
      </c>
      <c r="C23" s="13"/>
      <c r="D23" s="13"/>
    </row>
    <row r="24" spans="2:5" x14ac:dyDescent="0.3">
      <c r="B24" s="13" t="s">
        <v>320</v>
      </c>
      <c r="C24" s="13"/>
      <c r="D24" s="13"/>
      <c r="E24" s="13"/>
    </row>
    <row r="25" spans="2:5" x14ac:dyDescent="0.3">
      <c r="B25" s="39" t="s">
        <v>315</v>
      </c>
      <c r="C25" s="40" t="s">
        <v>316</v>
      </c>
      <c r="D25" s="40"/>
      <c r="E25" s="41"/>
    </row>
    <row r="26" spans="2:5" x14ac:dyDescent="0.3">
      <c r="B26" s="42" t="s">
        <v>313</v>
      </c>
      <c r="C26" s="43" t="s">
        <v>23</v>
      </c>
      <c r="D26" s="43" t="s">
        <v>19</v>
      </c>
      <c r="E26" s="44" t="s">
        <v>312</v>
      </c>
    </row>
    <row r="27" spans="2:5" x14ac:dyDescent="0.3">
      <c r="B27" s="33" t="s">
        <v>27</v>
      </c>
      <c r="C27" s="34">
        <v>806</v>
      </c>
      <c r="D27" s="34">
        <v>1502</v>
      </c>
      <c r="E27" s="35">
        <v>2308</v>
      </c>
    </row>
    <row r="28" spans="2:5" x14ac:dyDescent="0.3">
      <c r="B28" s="45" t="s">
        <v>312</v>
      </c>
      <c r="C28" s="46">
        <v>806</v>
      </c>
      <c r="D28" s="46">
        <v>1502</v>
      </c>
      <c r="E28" s="47">
        <v>2308</v>
      </c>
    </row>
    <row r="33" spans="2:4" ht="18" x14ac:dyDescent="0.35">
      <c r="B33" s="22" t="s">
        <v>324</v>
      </c>
      <c r="C33" s="22"/>
      <c r="D33" s="23"/>
    </row>
    <row r="35" spans="2:4" x14ac:dyDescent="0.3">
      <c r="B35" s="4" t="s">
        <v>313</v>
      </c>
      <c r="C35" s="4" t="s">
        <v>327</v>
      </c>
      <c r="D35" s="24"/>
    </row>
    <row r="36" spans="2:4" x14ac:dyDescent="0.3">
      <c r="B36" s="11" t="s">
        <v>27</v>
      </c>
      <c r="C36" s="24">
        <v>990</v>
      </c>
    </row>
    <row r="37" spans="2:4" x14ac:dyDescent="0.3">
      <c r="B37" s="25" t="s">
        <v>312</v>
      </c>
      <c r="C37" s="26">
        <v>990</v>
      </c>
    </row>
    <row r="39" spans="2:4" x14ac:dyDescent="0.3">
      <c r="D39" s="24">
        <f>GETPIVOTDATA("EA Play Season Pass
Price",$B$35)</f>
        <v>990</v>
      </c>
    </row>
    <row r="40" spans="2:4" x14ac:dyDescent="0.3">
      <c r="B40" s="28"/>
      <c r="C40" s="29"/>
      <c r="D40" s="24"/>
    </row>
    <row r="41" spans="2:4" ht="18" x14ac:dyDescent="0.35">
      <c r="B41" s="23" t="s">
        <v>325</v>
      </c>
    </row>
    <row r="43" spans="2:4" x14ac:dyDescent="0.3">
      <c r="B43" s="4" t="s">
        <v>313</v>
      </c>
      <c r="C43" s="4" t="s">
        <v>326</v>
      </c>
    </row>
    <row r="44" spans="2:4" x14ac:dyDescent="0.3">
      <c r="B44" s="11" t="s">
        <v>24</v>
      </c>
      <c r="C44" s="12">
        <v>940</v>
      </c>
    </row>
    <row r="45" spans="2:4" x14ac:dyDescent="0.3">
      <c r="B45" s="11" t="s">
        <v>20</v>
      </c>
      <c r="C45" s="12">
        <v>1800</v>
      </c>
    </row>
    <row r="46" spans="2:4" x14ac:dyDescent="0.3">
      <c r="B46" s="11" t="s">
        <v>27</v>
      </c>
      <c r="C46" s="12">
        <v>1140</v>
      </c>
    </row>
    <row r="47" spans="2:4" x14ac:dyDescent="0.3">
      <c r="B47" s="25" t="s">
        <v>312</v>
      </c>
      <c r="C47" s="27">
        <v>3880</v>
      </c>
      <c r="D47" s="24">
        <f>GETPIVOTDATA("Minecraft Season Pass Price",$B$43)</f>
        <v>3880</v>
      </c>
    </row>
  </sheetData>
  <mergeCells count="2">
    <mergeCell ref="B12:C12"/>
    <mergeCell ref="E12:G12"/>
  </mergeCells>
  <pageMargins left="0.511811024" right="0.511811024" top="0.78740157499999996" bottom="0.78740157499999996" header="0.31496062000000002" footer="0.31496062000000002"/>
  <pageSetup paperSize="9" orientation="portrait" r:id="rId5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EM156"/>
  <sheetViews>
    <sheetView showGridLines="0" showRowColHeaders="0" tabSelected="1" zoomScale="80" zoomScaleNormal="80" workbookViewId="0">
      <selection activeCell="Y11" sqref="Y11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38.33203125" style="21" customWidth="1"/>
    <col min="11" max="11" width="6.5546875" customWidth="1"/>
    <col min="23" max="23" width="6.109375" customWidth="1"/>
  </cols>
  <sheetData>
    <row r="2" spans="1:143" ht="33" customHeight="1" thickBot="1" x14ac:dyDescent="0.35">
      <c r="B2" s="31"/>
      <c r="C2" s="32"/>
      <c r="D2" s="36" t="s">
        <v>328</v>
      </c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</row>
    <row r="3" spans="1:143" ht="15.75" customHeight="1" thickTop="1" x14ac:dyDescent="0.3"/>
    <row r="4" spans="1:143" ht="8.25" customHeight="1" x14ac:dyDescent="0.3"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</row>
    <row r="5" spans="1:143" ht="14.25" customHeight="1" x14ac:dyDescent="0.3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</row>
    <row r="6" spans="1:143" ht="10.5" customHeight="1" x14ac:dyDescent="0.3"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</row>
    <row r="7" spans="1:143" ht="33" customHeight="1" x14ac:dyDescent="0.3"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</row>
    <row r="8" spans="1:143" x14ac:dyDescent="0.3">
      <c r="B8" s="38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</row>
    <row r="9" spans="1:143" x14ac:dyDescent="0.3"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</row>
    <row r="10" spans="1:143" x14ac:dyDescent="0.3"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</row>
    <row r="11" spans="1:143" ht="30" customHeight="1" x14ac:dyDescent="0.3">
      <c r="A11" s="30" t="s">
        <v>329</v>
      </c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</row>
    <row r="12" spans="1:143" x14ac:dyDescent="0.3"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</row>
    <row r="13" spans="1:143" x14ac:dyDescent="0.3"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  <c r="AA13" s="38"/>
      <c r="AB13" s="38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AY13" s="38"/>
      <c r="AZ13" s="38"/>
      <c r="BA13" s="38"/>
      <c r="BB13" s="38"/>
      <c r="BC13" s="38"/>
      <c r="BD13" s="38"/>
      <c r="BE13" s="38"/>
      <c r="BF13" s="38"/>
      <c r="BG13" s="38"/>
      <c r="BH13" s="38"/>
      <c r="BI13" s="38"/>
      <c r="BJ13" s="38"/>
      <c r="BK13" s="38"/>
      <c r="BL13" s="38"/>
      <c r="BM13" s="38"/>
      <c r="BN13" s="38"/>
      <c r="BO13" s="38"/>
      <c r="BP13" s="38"/>
      <c r="BQ13" s="38"/>
      <c r="BR13" s="38"/>
      <c r="BS13" s="38"/>
      <c r="BT13" s="38"/>
      <c r="BU13" s="38"/>
      <c r="BV13" s="38"/>
      <c r="BW13" s="38"/>
      <c r="BX13" s="38"/>
      <c r="BY13" s="38"/>
      <c r="BZ13" s="38"/>
      <c r="CA13" s="38"/>
      <c r="CB13" s="38"/>
      <c r="CC13" s="38"/>
      <c r="CD13" s="38"/>
      <c r="CE13" s="38"/>
      <c r="CF13" s="38"/>
      <c r="CG13" s="38"/>
      <c r="CH13" s="38"/>
      <c r="CI13" s="38"/>
      <c r="CJ13" s="38"/>
      <c r="CK13" s="38"/>
      <c r="CL13" s="38"/>
      <c r="CM13" s="38"/>
      <c r="CN13" s="38"/>
      <c r="CO13" s="38"/>
      <c r="CP13" s="38"/>
      <c r="CQ13" s="38"/>
      <c r="CR13" s="38"/>
      <c r="CS13" s="38"/>
      <c r="CT13" s="38"/>
      <c r="CU13" s="38"/>
      <c r="CV13" s="38"/>
      <c r="CW13" s="38"/>
      <c r="CX13" s="38"/>
      <c r="CY13" s="38"/>
      <c r="CZ13" s="38"/>
      <c r="DA13" s="38"/>
      <c r="DB13" s="38"/>
      <c r="DC13" s="38"/>
      <c r="DD13" s="38"/>
      <c r="DE13" s="38"/>
      <c r="DF13" s="38"/>
      <c r="DG13" s="38"/>
      <c r="DH13" s="38"/>
      <c r="DI13" s="38"/>
      <c r="DJ13" s="38"/>
      <c r="DK13" s="38"/>
      <c r="DL13" s="38"/>
      <c r="DM13" s="38"/>
      <c r="DN13" s="38"/>
      <c r="DO13" s="38"/>
      <c r="DP13" s="38"/>
      <c r="DQ13" s="38"/>
      <c r="DR13" s="38"/>
      <c r="DS13" s="38"/>
      <c r="DT13" s="38"/>
      <c r="DU13" s="38"/>
      <c r="DV13" s="38"/>
      <c r="DW13" s="38"/>
      <c r="DX13" s="38"/>
      <c r="DY13" s="38"/>
      <c r="DZ13" s="38"/>
      <c r="EA13" s="38"/>
      <c r="EB13" s="38"/>
      <c r="EC13" s="38"/>
      <c r="ED13" s="38"/>
      <c r="EE13" s="38"/>
      <c r="EF13" s="38"/>
      <c r="EG13" s="38"/>
      <c r="EH13" s="38"/>
      <c r="EI13" s="38"/>
      <c r="EJ13" s="38"/>
      <c r="EK13" s="38"/>
      <c r="EL13" s="38"/>
      <c r="EM13" s="38"/>
    </row>
    <row r="14" spans="1:143" x14ac:dyDescent="0.3"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  <c r="Z14" s="38"/>
      <c r="AA14" s="38"/>
      <c r="AB14" s="38"/>
      <c r="AC14" s="38"/>
      <c r="AD14" s="38"/>
      <c r="AE14" s="38"/>
      <c r="AF14" s="38"/>
      <c r="AG14" s="38"/>
      <c r="AH14" s="38"/>
      <c r="AI14" s="38"/>
      <c r="AJ14" s="38"/>
      <c r="AK14" s="38"/>
      <c r="AL14" s="38"/>
      <c r="AM14" s="38"/>
      <c r="AN14" s="38"/>
      <c r="AO14" s="38"/>
      <c r="AP14" s="38"/>
      <c r="AQ14" s="38"/>
      <c r="AR14" s="38"/>
      <c r="AS14" s="38"/>
      <c r="AT14" s="38"/>
      <c r="AU14" s="38"/>
      <c r="AV14" s="38"/>
      <c r="AW14" s="38"/>
      <c r="AX14" s="38"/>
      <c r="AY14" s="38"/>
      <c r="AZ14" s="38"/>
      <c r="BA14" s="38"/>
      <c r="BB14" s="38"/>
      <c r="BC14" s="38"/>
      <c r="BD14" s="38"/>
      <c r="BE14" s="38"/>
      <c r="BF14" s="38"/>
      <c r="BG14" s="38"/>
      <c r="BH14" s="38"/>
      <c r="BI14" s="38"/>
      <c r="BJ14" s="38"/>
      <c r="BK14" s="38"/>
      <c r="BL14" s="38"/>
      <c r="BM14" s="38"/>
      <c r="BN14" s="38"/>
      <c r="BO14" s="38"/>
      <c r="BP14" s="38"/>
      <c r="BQ14" s="38"/>
      <c r="BR14" s="38"/>
      <c r="BS14" s="38"/>
      <c r="BT14" s="38"/>
      <c r="BU14" s="38"/>
      <c r="BV14" s="38"/>
      <c r="BW14" s="38"/>
      <c r="BX14" s="38"/>
      <c r="BY14" s="38"/>
      <c r="BZ14" s="38"/>
      <c r="CA14" s="38"/>
      <c r="CB14" s="38"/>
      <c r="CC14" s="38"/>
      <c r="CD14" s="38"/>
      <c r="CE14" s="38"/>
      <c r="CF14" s="38"/>
      <c r="CG14" s="38"/>
      <c r="CH14" s="38"/>
      <c r="CI14" s="38"/>
      <c r="CJ14" s="38"/>
      <c r="CK14" s="38"/>
      <c r="CL14" s="38"/>
      <c r="CM14" s="38"/>
      <c r="CN14" s="38"/>
      <c r="CO14" s="38"/>
      <c r="CP14" s="38"/>
      <c r="CQ14" s="38"/>
      <c r="CR14" s="38"/>
      <c r="CS14" s="38"/>
      <c r="CT14" s="38"/>
      <c r="CU14" s="38"/>
      <c r="CV14" s="38"/>
      <c r="CW14" s="38"/>
      <c r="CX14" s="38"/>
      <c r="CY14" s="38"/>
      <c r="CZ14" s="38"/>
      <c r="DA14" s="38"/>
      <c r="DB14" s="38"/>
      <c r="DC14" s="38"/>
      <c r="DD14" s="38"/>
      <c r="DE14" s="38"/>
      <c r="DF14" s="38"/>
      <c r="DG14" s="38"/>
      <c r="DH14" s="38"/>
      <c r="DI14" s="38"/>
      <c r="DJ14" s="38"/>
      <c r="DK14" s="38"/>
      <c r="DL14" s="38"/>
      <c r="DM14" s="38"/>
      <c r="DN14" s="38"/>
      <c r="DO14" s="38"/>
      <c r="DP14" s="38"/>
      <c r="DQ14" s="38"/>
      <c r="DR14" s="38"/>
      <c r="DS14" s="38"/>
      <c r="DT14" s="38"/>
      <c r="DU14" s="38"/>
      <c r="DV14" s="38"/>
      <c r="DW14" s="38"/>
      <c r="DX14" s="38"/>
      <c r="DY14" s="38"/>
      <c r="DZ14" s="38"/>
      <c r="EA14" s="38"/>
      <c r="EB14" s="38"/>
      <c r="EC14" s="38"/>
      <c r="ED14" s="38"/>
      <c r="EE14" s="38"/>
      <c r="EF14" s="38"/>
      <c r="EG14" s="38"/>
      <c r="EH14" s="38"/>
      <c r="EI14" s="38"/>
      <c r="EJ14" s="38"/>
      <c r="EK14" s="38"/>
      <c r="EL14" s="38"/>
      <c r="EM14" s="38"/>
    </row>
    <row r="15" spans="1:143" x14ac:dyDescent="0.3"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  <c r="Z15" s="38"/>
      <c r="AA15" s="38"/>
      <c r="AB15" s="38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  <c r="BL15" s="38"/>
      <c r="BM15" s="38"/>
      <c r="BN15" s="38"/>
      <c r="BO15" s="38"/>
      <c r="BP15" s="38"/>
      <c r="BQ15" s="38"/>
      <c r="BR15" s="38"/>
      <c r="BS15" s="38"/>
      <c r="BT15" s="38"/>
      <c r="BU15" s="38"/>
      <c r="BV15" s="38"/>
      <c r="BW15" s="38"/>
      <c r="BX15" s="38"/>
      <c r="BY15" s="38"/>
      <c r="BZ15" s="38"/>
      <c r="CA15" s="38"/>
      <c r="CB15" s="38"/>
      <c r="CC15" s="38"/>
      <c r="CD15" s="38"/>
      <c r="CE15" s="38"/>
      <c r="CF15" s="38"/>
      <c r="CG15" s="38"/>
      <c r="CH15" s="38"/>
      <c r="CI15" s="38"/>
      <c r="CJ15" s="38"/>
      <c r="CK15" s="38"/>
      <c r="CL15" s="38"/>
      <c r="CM15" s="38"/>
      <c r="CN15" s="38"/>
      <c r="CO15" s="38"/>
      <c r="CP15" s="38"/>
      <c r="CQ15" s="38"/>
      <c r="CR15" s="38"/>
      <c r="CS15" s="38"/>
      <c r="CT15" s="38"/>
      <c r="CU15" s="38"/>
      <c r="CV15" s="38"/>
      <c r="CW15" s="38"/>
      <c r="CX15" s="38"/>
      <c r="CY15" s="38"/>
      <c r="CZ15" s="38"/>
      <c r="DA15" s="38"/>
      <c r="DB15" s="38"/>
      <c r="DC15" s="38"/>
      <c r="DD15" s="38"/>
      <c r="DE15" s="38"/>
      <c r="DF15" s="38"/>
      <c r="DG15" s="38"/>
      <c r="DH15" s="38"/>
      <c r="DI15" s="38"/>
      <c r="DJ15" s="38"/>
      <c r="DK15" s="38"/>
      <c r="DL15" s="38"/>
      <c r="DM15" s="38"/>
      <c r="DN15" s="38"/>
      <c r="DO15" s="38"/>
      <c r="DP15" s="38"/>
      <c r="DQ15" s="38"/>
      <c r="DR15" s="38"/>
      <c r="DS15" s="38"/>
      <c r="DT15" s="38"/>
      <c r="DU15" s="38"/>
      <c r="DV15" s="38"/>
      <c r="DW15" s="38"/>
      <c r="DX15" s="38"/>
      <c r="DY15" s="38"/>
      <c r="DZ15" s="38"/>
      <c r="EA15" s="38"/>
      <c r="EB15" s="38"/>
      <c r="EC15" s="38"/>
      <c r="ED15" s="38"/>
      <c r="EE15" s="38"/>
      <c r="EF15" s="38"/>
      <c r="EG15" s="38"/>
      <c r="EH15" s="38"/>
      <c r="EI15" s="38"/>
      <c r="EJ15" s="38"/>
      <c r="EK15" s="38"/>
      <c r="EL15" s="38"/>
      <c r="EM15" s="38"/>
    </row>
    <row r="16" spans="1:143" x14ac:dyDescent="0.3"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  <c r="BL16" s="38"/>
      <c r="BM16" s="38"/>
      <c r="BN16" s="38"/>
      <c r="BO16" s="38"/>
      <c r="BP16" s="38"/>
      <c r="BQ16" s="38"/>
      <c r="BR16" s="38"/>
      <c r="BS16" s="38"/>
      <c r="BT16" s="38"/>
      <c r="BU16" s="38"/>
      <c r="BV16" s="38"/>
      <c r="BW16" s="38"/>
      <c r="BX16" s="38"/>
      <c r="BY16" s="38"/>
      <c r="BZ16" s="38"/>
      <c r="CA16" s="38"/>
      <c r="CB16" s="38"/>
      <c r="CC16" s="38"/>
      <c r="CD16" s="38"/>
      <c r="CE16" s="38"/>
      <c r="CF16" s="38"/>
      <c r="CG16" s="38"/>
      <c r="CH16" s="38"/>
      <c r="CI16" s="38"/>
      <c r="CJ16" s="38"/>
      <c r="CK16" s="38"/>
      <c r="CL16" s="38"/>
      <c r="CM16" s="38"/>
      <c r="CN16" s="38"/>
      <c r="CO16" s="38"/>
      <c r="CP16" s="38"/>
      <c r="CQ16" s="38"/>
      <c r="CR16" s="38"/>
      <c r="CS16" s="38"/>
      <c r="CT16" s="38"/>
      <c r="CU16" s="38"/>
      <c r="CV16" s="38"/>
      <c r="CW16" s="38"/>
      <c r="CX16" s="38"/>
      <c r="CY16" s="38"/>
      <c r="CZ16" s="38"/>
      <c r="DA16" s="38"/>
      <c r="DB16" s="38"/>
      <c r="DC16" s="38"/>
      <c r="DD16" s="38"/>
      <c r="DE16" s="38"/>
      <c r="DF16" s="38"/>
      <c r="DG16" s="38"/>
      <c r="DH16" s="38"/>
      <c r="DI16" s="38"/>
      <c r="DJ16" s="38"/>
      <c r="DK16" s="38"/>
      <c r="DL16" s="38"/>
      <c r="DM16" s="38"/>
      <c r="DN16" s="38"/>
      <c r="DO16" s="38"/>
      <c r="DP16" s="38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</row>
    <row r="17" spans="2:143" x14ac:dyDescent="0.3"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38"/>
      <c r="BU17" s="38"/>
      <c r="BV17" s="38"/>
      <c r="BW17" s="38"/>
      <c r="BX17" s="38"/>
      <c r="BY17" s="38"/>
      <c r="BZ17" s="38"/>
      <c r="CA17" s="38"/>
      <c r="CB17" s="38"/>
      <c r="CC17" s="38"/>
      <c r="CD17" s="38"/>
      <c r="CE17" s="38"/>
      <c r="CF17" s="38"/>
      <c r="CG17" s="38"/>
      <c r="CH17" s="38"/>
      <c r="CI17" s="38"/>
      <c r="CJ17" s="38"/>
      <c r="CK17" s="38"/>
      <c r="CL17" s="38"/>
      <c r="CM17" s="38"/>
      <c r="CN17" s="38"/>
      <c r="CO17" s="38"/>
      <c r="CP17" s="38"/>
      <c r="CQ17" s="38"/>
      <c r="CR17" s="38"/>
      <c r="CS17" s="38"/>
      <c r="CT17" s="38"/>
      <c r="CU17" s="38"/>
      <c r="CV17" s="38"/>
      <c r="CW17" s="38"/>
      <c r="CX17" s="38"/>
      <c r="CY17" s="38"/>
      <c r="CZ17" s="38"/>
      <c r="DA17" s="38"/>
      <c r="DB17" s="38"/>
      <c r="DC17" s="38"/>
      <c r="DD17" s="38"/>
      <c r="DE17" s="38"/>
      <c r="DF17" s="38"/>
      <c r="DG17" s="38"/>
      <c r="DH17" s="38"/>
      <c r="DI17" s="38"/>
      <c r="DJ17" s="38"/>
      <c r="DK17" s="38"/>
      <c r="DL17" s="38"/>
      <c r="DM17" s="38"/>
      <c r="DN17" s="38"/>
      <c r="DO17" s="38"/>
      <c r="DP17" s="38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</row>
    <row r="18" spans="2:143" x14ac:dyDescent="0.3"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</row>
    <row r="19" spans="2:143" x14ac:dyDescent="0.3">
      <c r="B19" s="38"/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</row>
    <row r="20" spans="2:143" x14ac:dyDescent="0.3"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</row>
    <row r="21" spans="2:143" x14ac:dyDescent="0.3"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8"/>
      <c r="BM21" s="38"/>
      <c r="BN21" s="38"/>
      <c r="BO21" s="38"/>
      <c r="BP21" s="38"/>
      <c r="BQ21" s="38"/>
      <c r="BR21" s="38"/>
      <c r="BS21" s="38"/>
      <c r="BT21" s="38"/>
      <c r="BU21" s="38"/>
      <c r="BV21" s="38"/>
      <c r="BW21" s="38"/>
      <c r="BX21" s="38"/>
      <c r="BY21" s="38"/>
      <c r="BZ21" s="38"/>
      <c r="CA21" s="38"/>
      <c r="CB21" s="38"/>
      <c r="CC21" s="38"/>
      <c r="CD21" s="38"/>
      <c r="CE21" s="38"/>
      <c r="CF21" s="38"/>
      <c r="CG21" s="38"/>
      <c r="CH21" s="38"/>
      <c r="CI21" s="38"/>
      <c r="CJ21" s="38"/>
      <c r="CK21" s="38"/>
      <c r="CL21" s="38"/>
      <c r="CM21" s="38"/>
      <c r="CN21" s="38"/>
      <c r="CO21" s="38"/>
      <c r="CP21" s="38"/>
      <c r="CQ21" s="38"/>
      <c r="CR21" s="38"/>
      <c r="CS21" s="38"/>
      <c r="CT21" s="38"/>
      <c r="CU21" s="38"/>
      <c r="CV21" s="38"/>
      <c r="CW21" s="38"/>
      <c r="CX21" s="38"/>
      <c r="CY21" s="38"/>
      <c r="CZ21" s="38"/>
      <c r="DA21" s="38"/>
      <c r="DB21" s="38"/>
      <c r="DC21" s="38"/>
      <c r="DD21" s="38"/>
      <c r="DE21" s="38"/>
      <c r="DF21" s="38"/>
      <c r="DG21" s="38"/>
      <c r="DH21" s="38"/>
      <c r="DI21" s="38"/>
      <c r="DJ21" s="38"/>
      <c r="DK21" s="38"/>
      <c r="DL21" s="38"/>
      <c r="DM21" s="38"/>
      <c r="DN21" s="38"/>
      <c r="DO21" s="38"/>
      <c r="DP21" s="38"/>
      <c r="DQ21" s="38"/>
      <c r="DR21" s="38"/>
      <c r="DS21" s="38"/>
      <c r="DT21" s="38"/>
      <c r="DU21" s="38"/>
      <c r="DV21" s="38"/>
      <c r="DW21" s="38"/>
      <c r="DX21" s="38"/>
      <c r="DY21" s="38"/>
      <c r="DZ21" s="38"/>
      <c r="EA21" s="38"/>
      <c r="EB21" s="38"/>
      <c r="EC21" s="38"/>
      <c r="ED21" s="38"/>
      <c r="EE21" s="38"/>
      <c r="EF21" s="38"/>
      <c r="EG21" s="38"/>
      <c r="EH21" s="38"/>
      <c r="EI21" s="38"/>
      <c r="EJ21" s="38"/>
      <c r="EK21" s="38"/>
      <c r="EL21" s="38"/>
      <c r="EM21" s="38"/>
    </row>
    <row r="22" spans="2:143" x14ac:dyDescent="0.3"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AY22" s="38"/>
      <c r="AZ22" s="38"/>
      <c r="BA22" s="38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8"/>
      <c r="BM22" s="38"/>
      <c r="BN22" s="38"/>
      <c r="BO22" s="38"/>
      <c r="BP22" s="38"/>
      <c r="BQ22" s="38"/>
      <c r="BR22" s="38"/>
      <c r="BS22" s="38"/>
      <c r="BT22" s="38"/>
      <c r="BU22" s="38"/>
      <c r="BV22" s="38"/>
      <c r="BW22" s="38"/>
      <c r="BX22" s="38"/>
      <c r="BY22" s="38"/>
      <c r="BZ22" s="38"/>
      <c r="CA22" s="38"/>
      <c r="CB22" s="38"/>
      <c r="CC22" s="38"/>
      <c r="CD22" s="38"/>
      <c r="CE22" s="38"/>
      <c r="CF22" s="38"/>
      <c r="CG22" s="38"/>
      <c r="CH22" s="38"/>
      <c r="CI22" s="38"/>
      <c r="CJ22" s="38"/>
      <c r="CK22" s="38"/>
      <c r="CL22" s="38"/>
      <c r="CM22" s="38"/>
      <c r="CN22" s="38"/>
      <c r="CO22" s="38"/>
      <c r="CP22" s="38"/>
      <c r="CQ22" s="38"/>
      <c r="CR22" s="38"/>
      <c r="CS22" s="38"/>
      <c r="CT22" s="38"/>
      <c r="CU22" s="38"/>
      <c r="CV22" s="38"/>
      <c r="CW22" s="38"/>
      <c r="CX22" s="38"/>
      <c r="CY22" s="38"/>
      <c r="CZ22" s="38"/>
      <c r="DA22" s="38"/>
      <c r="DB22" s="38"/>
      <c r="DC22" s="38"/>
      <c r="DD22" s="38"/>
      <c r="DE22" s="38"/>
      <c r="DF22" s="38"/>
      <c r="DG22" s="38"/>
      <c r="DH22" s="38"/>
      <c r="DI22" s="38"/>
      <c r="DJ22" s="38"/>
      <c r="DK22" s="38"/>
      <c r="DL22" s="38"/>
      <c r="DM22" s="38"/>
      <c r="DN22" s="38"/>
      <c r="DO22" s="38"/>
      <c r="DP22" s="38"/>
      <c r="DQ22" s="38"/>
      <c r="DR22" s="38"/>
      <c r="DS22" s="38"/>
      <c r="DT22" s="38"/>
      <c r="DU22" s="38"/>
      <c r="DV22" s="38"/>
      <c r="DW22" s="38"/>
      <c r="DX22" s="38"/>
      <c r="DY22" s="38"/>
      <c r="DZ22" s="38"/>
      <c r="EA22" s="38"/>
      <c r="EB22" s="38"/>
      <c r="EC22" s="38"/>
      <c r="ED22" s="38"/>
      <c r="EE22" s="38"/>
      <c r="EF22" s="38"/>
      <c r="EG22" s="38"/>
      <c r="EH22" s="38"/>
      <c r="EI22" s="38"/>
      <c r="EJ22" s="38"/>
      <c r="EK22" s="38"/>
      <c r="EL22" s="38"/>
      <c r="EM22" s="38"/>
    </row>
    <row r="23" spans="2:143" x14ac:dyDescent="0.3"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8"/>
      <c r="CA23" s="38"/>
      <c r="CB23" s="38"/>
      <c r="CC23" s="38"/>
      <c r="CD23" s="38"/>
      <c r="CE23" s="38"/>
      <c r="CF23" s="38"/>
      <c r="CG23" s="38"/>
      <c r="CH23" s="38"/>
      <c r="CI23" s="38"/>
      <c r="CJ23" s="38"/>
      <c r="CK23" s="38"/>
      <c r="CL23" s="38"/>
      <c r="CM23" s="38"/>
      <c r="CN23" s="38"/>
      <c r="CO23" s="38"/>
      <c r="CP23" s="38"/>
      <c r="CQ23" s="38"/>
      <c r="CR23" s="38"/>
      <c r="CS23" s="38"/>
      <c r="CT23" s="38"/>
      <c r="CU23" s="38"/>
      <c r="CV23" s="38"/>
      <c r="CW23" s="38"/>
      <c r="CX23" s="38"/>
      <c r="CY23" s="38"/>
      <c r="CZ23" s="38"/>
      <c r="DA23" s="38"/>
      <c r="DB23" s="38"/>
      <c r="DC23" s="38"/>
      <c r="DD23" s="38"/>
      <c r="DE23" s="38"/>
      <c r="DF23" s="38"/>
      <c r="DG23" s="38"/>
      <c r="DH23" s="38"/>
      <c r="DI23" s="38"/>
      <c r="DJ23" s="38"/>
      <c r="DK23" s="38"/>
      <c r="DL23" s="38"/>
      <c r="DM23" s="38"/>
      <c r="DN23" s="38"/>
      <c r="DO23" s="38"/>
      <c r="DP23" s="38"/>
      <c r="DQ23" s="38"/>
      <c r="DR23" s="38"/>
      <c r="DS23" s="38"/>
      <c r="DT23" s="38"/>
      <c r="DU23" s="38"/>
      <c r="DV23" s="38"/>
      <c r="DW23" s="38"/>
      <c r="DX23" s="38"/>
      <c r="DY23" s="38"/>
      <c r="DZ23" s="38"/>
      <c r="EA23" s="38"/>
      <c r="EB23" s="38"/>
      <c r="EC23" s="38"/>
      <c r="ED23" s="38"/>
      <c r="EE23" s="38"/>
      <c r="EF23" s="38"/>
      <c r="EG23" s="38"/>
      <c r="EH23" s="38"/>
      <c r="EI23" s="38"/>
      <c r="EJ23" s="38"/>
      <c r="EK23" s="38"/>
      <c r="EL23" s="38"/>
      <c r="EM23" s="38"/>
    </row>
    <row r="24" spans="2:143" x14ac:dyDescent="0.3"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</row>
    <row r="25" spans="2:143" x14ac:dyDescent="0.3"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</row>
    <row r="26" spans="2:143" x14ac:dyDescent="0.3">
      <c r="B26" s="38"/>
      <c r="C26" s="38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</row>
    <row r="27" spans="2:143" x14ac:dyDescent="0.3"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</row>
    <row r="28" spans="2:143" x14ac:dyDescent="0.3"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8"/>
      <c r="AA28" s="38"/>
      <c r="AB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AY28" s="38"/>
      <c r="AZ28" s="38"/>
      <c r="BA28" s="38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8"/>
      <c r="BM28" s="38"/>
      <c r="BN28" s="38"/>
      <c r="BO28" s="38"/>
      <c r="BP28" s="38"/>
      <c r="BQ28" s="38"/>
      <c r="BR28" s="38"/>
      <c r="BS28" s="38"/>
      <c r="BT28" s="38"/>
      <c r="BU28" s="38"/>
      <c r="BV28" s="38"/>
      <c r="BW28" s="38"/>
      <c r="BX28" s="38"/>
      <c r="BY28" s="38"/>
      <c r="BZ28" s="38"/>
      <c r="CA28" s="38"/>
      <c r="CB28" s="38"/>
      <c r="CC28" s="38"/>
      <c r="CD28" s="38"/>
      <c r="CE28" s="38"/>
      <c r="CF28" s="38"/>
      <c r="CG28" s="38"/>
      <c r="CH28" s="38"/>
      <c r="CI28" s="38"/>
      <c r="CJ28" s="38"/>
      <c r="CK28" s="38"/>
      <c r="CL28" s="38"/>
      <c r="CM28" s="38"/>
      <c r="CN28" s="38"/>
      <c r="CO28" s="38"/>
      <c r="CP28" s="38"/>
      <c r="CQ28" s="38"/>
      <c r="CR28" s="38"/>
      <c r="CS28" s="38"/>
      <c r="CT28" s="38"/>
      <c r="CU28" s="38"/>
      <c r="CV28" s="38"/>
      <c r="CW28" s="38"/>
      <c r="CX28" s="38"/>
      <c r="CY28" s="38"/>
      <c r="CZ28" s="38"/>
      <c r="DA28" s="38"/>
      <c r="DB28" s="38"/>
      <c r="DC28" s="38"/>
      <c r="DD28" s="38"/>
      <c r="DE28" s="38"/>
      <c r="DF28" s="38"/>
      <c r="DG28" s="38"/>
      <c r="DH28" s="38"/>
      <c r="DI28" s="38"/>
      <c r="DJ28" s="38"/>
      <c r="DK28" s="38"/>
      <c r="DL28" s="38"/>
      <c r="DM28" s="38"/>
      <c r="DN28" s="38"/>
      <c r="DO28" s="38"/>
      <c r="DP28" s="38"/>
      <c r="DQ28" s="38"/>
      <c r="DR28" s="38"/>
      <c r="DS28" s="38"/>
      <c r="DT28" s="38"/>
      <c r="DU28" s="38"/>
      <c r="DV28" s="38"/>
      <c r="DW28" s="38"/>
      <c r="DX28" s="38"/>
      <c r="DY28" s="38"/>
      <c r="DZ28" s="38"/>
      <c r="EA28" s="38"/>
      <c r="EB28" s="38"/>
      <c r="EC28" s="38"/>
      <c r="ED28" s="38"/>
      <c r="EE28" s="38"/>
      <c r="EF28" s="38"/>
      <c r="EG28" s="38"/>
      <c r="EH28" s="38"/>
      <c r="EI28" s="38"/>
      <c r="EJ28" s="38"/>
      <c r="EK28" s="38"/>
      <c r="EL28" s="38"/>
      <c r="EM28" s="38"/>
    </row>
    <row r="29" spans="2:143" x14ac:dyDescent="0.3"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8"/>
      <c r="AO29" s="38"/>
      <c r="AP29" s="38"/>
      <c r="AQ29" s="38"/>
      <c r="AR29" s="38"/>
      <c r="AS29" s="38"/>
      <c r="AT29" s="38"/>
      <c r="AU29" s="38"/>
      <c r="AV29" s="38"/>
      <c r="AW29" s="38"/>
      <c r="AX29" s="38"/>
      <c r="AY29" s="38"/>
      <c r="AZ29" s="38"/>
      <c r="BA29" s="38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8"/>
      <c r="BM29" s="38"/>
      <c r="BN29" s="38"/>
      <c r="BO29" s="38"/>
      <c r="BP29" s="38"/>
      <c r="BQ29" s="38"/>
      <c r="BR29" s="38"/>
      <c r="BS29" s="38"/>
      <c r="BT29" s="38"/>
      <c r="BU29" s="38"/>
      <c r="BV29" s="38"/>
      <c r="BW29" s="38"/>
      <c r="BX29" s="38"/>
      <c r="BY29" s="38"/>
      <c r="BZ29" s="38"/>
      <c r="CA29" s="38"/>
      <c r="CB29" s="38"/>
      <c r="CC29" s="38"/>
      <c r="CD29" s="38"/>
      <c r="CE29" s="38"/>
      <c r="CF29" s="38"/>
      <c r="CG29" s="38"/>
      <c r="CH29" s="38"/>
      <c r="CI29" s="38"/>
      <c r="CJ29" s="38"/>
      <c r="CK29" s="38"/>
      <c r="CL29" s="38"/>
      <c r="CM29" s="38"/>
      <c r="CN29" s="38"/>
      <c r="CO29" s="38"/>
      <c r="CP29" s="38"/>
      <c r="CQ29" s="38"/>
      <c r="CR29" s="38"/>
      <c r="CS29" s="38"/>
      <c r="CT29" s="38"/>
      <c r="CU29" s="38"/>
      <c r="CV29" s="38"/>
      <c r="CW29" s="38"/>
      <c r="CX29" s="38"/>
      <c r="CY29" s="38"/>
      <c r="CZ29" s="38"/>
      <c r="DA29" s="38"/>
      <c r="DB29" s="38"/>
      <c r="DC29" s="38"/>
      <c r="DD29" s="38"/>
      <c r="DE29" s="38"/>
      <c r="DF29" s="38"/>
      <c r="DG29" s="38"/>
      <c r="DH29" s="38"/>
      <c r="DI29" s="38"/>
      <c r="DJ29" s="38"/>
      <c r="DK29" s="38"/>
      <c r="DL29" s="38"/>
      <c r="DM29" s="38"/>
      <c r="DN29" s="38"/>
      <c r="DO29" s="38"/>
      <c r="DP29" s="38"/>
      <c r="DQ29" s="38"/>
      <c r="DR29" s="38"/>
      <c r="DS29" s="38"/>
      <c r="DT29" s="38"/>
      <c r="DU29" s="38"/>
      <c r="DV29" s="38"/>
      <c r="DW29" s="38"/>
      <c r="DX29" s="38"/>
      <c r="DY29" s="38"/>
      <c r="DZ29" s="38"/>
      <c r="EA29" s="38"/>
      <c r="EB29" s="38"/>
      <c r="EC29" s="38"/>
      <c r="ED29" s="38"/>
      <c r="EE29" s="38"/>
      <c r="EF29" s="38"/>
      <c r="EG29" s="38"/>
      <c r="EH29" s="38"/>
      <c r="EI29" s="38"/>
      <c r="EJ29" s="38"/>
      <c r="EK29" s="38"/>
      <c r="EL29" s="38"/>
      <c r="EM29" s="38"/>
    </row>
    <row r="30" spans="2:143" x14ac:dyDescent="0.3"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</row>
    <row r="31" spans="2:143" x14ac:dyDescent="0.3"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8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AY31" s="38"/>
      <c r="AZ31" s="38"/>
      <c r="BA31" s="38"/>
      <c r="BB31" s="38"/>
      <c r="BC31" s="38"/>
      <c r="BD31" s="38"/>
      <c r="BE31" s="38"/>
      <c r="BF31" s="38"/>
      <c r="BG31" s="38"/>
      <c r="BH31" s="38"/>
      <c r="BI31" s="38"/>
      <c r="BJ31" s="38"/>
      <c r="BK31" s="38"/>
      <c r="BL31" s="38"/>
      <c r="BM31" s="38"/>
      <c r="BN31" s="38"/>
      <c r="BO31" s="38"/>
      <c r="BP31" s="38"/>
      <c r="BQ31" s="38"/>
      <c r="BR31" s="38"/>
      <c r="BS31" s="38"/>
      <c r="BT31" s="38"/>
      <c r="BU31" s="38"/>
      <c r="BV31" s="38"/>
      <c r="BW31" s="38"/>
      <c r="BX31" s="38"/>
      <c r="BY31" s="38"/>
      <c r="BZ31" s="38"/>
      <c r="CA31" s="38"/>
      <c r="CB31" s="38"/>
      <c r="CC31" s="38"/>
      <c r="CD31" s="38"/>
      <c r="CE31" s="38"/>
      <c r="CF31" s="38"/>
      <c r="CG31" s="38"/>
      <c r="CH31" s="38"/>
      <c r="CI31" s="38"/>
      <c r="CJ31" s="38"/>
      <c r="CK31" s="38"/>
      <c r="CL31" s="38"/>
      <c r="CM31" s="38"/>
      <c r="CN31" s="38"/>
      <c r="CO31" s="38"/>
      <c r="CP31" s="38"/>
      <c r="CQ31" s="38"/>
      <c r="CR31" s="38"/>
      <c r="CS31" s="38"/>
      <c r="CT31" s="38"/>
      <c r="CU31" s="38"/>
      <c r="CV31" s="38"/>
      <c r="CW31" s="38"/>
      <c r="CX31" s="38"/>
      <c r="CY31" s="38"/>
      <c r="CZ31" s="38"/>
      <c r="DA31" s="38"/>
      <c r="DB31" s="38"/>
      <c r="DC31" s="38"/>
      <c r="DD31" s="38"/>
      <c r="DE31" s="38"/>
      <c r="DF31" s="38"/>
      <c r="DG31" s="38"/>
      <c r="DH31" s="38"/>
      <c r="DI31" s="38"/>
      <c r="DJ31" s="38"/>
      <c r="DK31" s="38"/>
      <c r="DL31" s="38"/>
      <c r="DM31" s="38"/>
      <c r="DN31" s="38"/>
      <c r="DO31" s="38"/>
      <c r="DP31" s="38"/>
      <c r="DQ31" s="38"/>
      <c r="DR31" s="38"/>
      <c r="DS31" s="38"/>
      <c r="DT31" s="38"/>
      <c r="DU31" s="38"/>
      <c r="DV31" s="38"/>
      <c r="DW31" s="38"/>
      <c r="DX31" s="38"/>
      <c r="DY31" s="38"/>
      <c r="DZ31" s="38"/>
      <c r="EA31" s="38"/>
      <c r="EB31" s="38"/>
      <c r="EC31" s="38"/>
      <c r="ED31" s="38"/>
      <c r="EE31" s="38"/>
      <c r="EF31" s="38"/>
      <c r="EG31" s="38"/>
      <c r="EH31" s="38"/>
      <c r="EI31" s="38"/>
      <c r="EJ31" s="38"/>
      <c r="EK31" s="38"/>
      <c r="EL31" s="38"/>
      <c r="EM31" s="38"/>
    </row>
    <row r="32" spans="2:143" x14ac:dyDescent="0.3"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8"/>
      <c r="AA32" s="38"/>
      <c r="AB32" s="38"/>
      <c r="AC32" s="38"/>
      <c r="AD32" s="38"/>
      <c r="AE32" s="38"/>
      <c r="AF32" s="38"/>
      <c r="AG32" s="38"/>
      <c r="AH32" s="38"/>
      <c r="AI32" s="38"/>
      <c r="AJ32" s="38"/>
      <c r="AK32" s="38"/>
      <c r="AL32" s="38"/>
      <c r="AM32" s="38"/>
      <c r="AN32" s="38"/>
      <c r="AO32" s="38"/>
      <c r="AP32" s="38"/>
      <c r="AQ32" s="38"/>
      <c r="AR32" s="38"/>
      <c r="AS32" s="38"/>
      <c r="AT32" s="38"/>
      <c r="AU32" s="38"/>
      <c r="AV32" s="38"/>
      <c r="AW32" s="38"/>
      <c r="AX32" s="38"/>
      <c r="AY32" s="38"/>
      <c r="AZ32" s="38"/>
      <c r="BA32" s="38"/>
      <c r="BB32" s="38"/>
      <c r="BC32" s="38"/>
      <c r="BD32" s="38"/>
      <c r="BE32" s="38"/>
      <c r="BF32" s="38"/>
      <c r="BG32" s="38"/>
      <c r="BH32" s="38"/>
      <c r="BI32" s="38"/>
      <c r="BJ32" s="38"/>
      <c r="BK32" s="38"/>
      <c r="BL32" s="38"/>
      <c r="BM32" s="38"/>
      <c r="BN32" s="38"/>
      <c r="BO32" s="38"/>
      <c r="BP32" s="38"/>
      <c r="BQ32" s="38"/>
      <c r="BR32" s="38"/>
      <c r="BS32" s="38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  <c r="CW32" s="38"/>
      <c r="CX32" s="38"/>
      <c r="CY32" s="38"/>
      <c r="CZ32" s="38"/>
      <c r="DA32" s="38"/>
      <c r="DB32" s="38"/>
      <c r="DC32" s="38"/>
      <c r="DD32" s="38"/>
      <c r="DE32" s="38"/>
      <c r="DF32" s="38"/>
      <c r="DG32" s="38"/>
      <c r="DH32" s="38"/>
      <c r="DI32" s="38"/>
      <c r="DJ32" s="38"/>
      <c r="DK32" s="38"/>
      <c r="DL32" s="38"/>
      <c r="DM32" s="38"/>
      <c r="DN32" s="38"/>
      <c r="DO32" s="38"/>
      <c r="DP32" s="38"/>
      <c r="DQ32" s="38"/>
      <c r="DR32" s="38"/>
      <c r="DS32" s="38"/>
      <c r="DT32" s="38"/>
      <c r="DU32" s="38"/>
      <c r="DV32" s="38"/>
      <c r="DW32" s="38"/>
      <c r="DX32" s="38"/>
      <c r="DY32" s="38"/>
      <c r="DZ32" s="38"/>
      <c r="EA32" s="38"/>
      <c r="EB32" s="38"/>
      <c r="EC32" s="38"/>
      <c r="ED32" s="38"/>
      <c r="EE32" s="38"/>
      <c r="EF32" s="38"/>
      <c r="EG32" s="38"/>
      <c r="EH32" s="38"/>
      <c r="EI32" s="38"/>
      <c r="EJ32" s="38"/>
      <c r="EK32" s="38"/>
      <c r="EL32" s="38"/>
      <c r="EM32" s="38"/>
    </row>
    <row r="33" spans="2:143" x14ac:dyDescent="0.3">
      <c r="B33" s="38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38"/>
      <c r="AL33" s="38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38"/>
      <c r="AX33" s="38"/>
      <c r="AY33" s="38"/>
      <c r="AZ33" s="38"/>
      <c r="BA33" s="38"/>
      <c r="BB33" s="38"/>
      <c r="BC33" s="38"/>
      <c r="BD33" s="38"/>
      <c r="BE33" s="38"/>
      <c r="BF33" s="38"/>
      <c r="BG33" s="38"/>
      <c r="BH33" s="38"/>
      <c r="BI33" s="38"/>
      <c r="BJ33" s="38"/>
      <c r="BK33" s="38"/>
      <c r="BL33" s="38"/>
      <c r="BM33" s="38"/>
      <c r="BN33" s="38"/>
      <c r="BO33" s="38"/>
      <c r="BP33" s="38"/>
      <c r="BQ33" s="38"/>
      <c r="BR33" s="38"/>
      <c r="BS33" s="38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  <c r="CW33" s="38"/>
      <c r="CX33" s="38"/>
      <c r="CY33" s="38"/>
      <c r="CZ33" s="38"/>
      <c r="DA33" s="38"/>
      <c r="DB33" s="38"/>
      <c r="DC33" s="38"/>
      <c r="DD33" s="38"/>
      <c r="DE33" s="38"/>
      <c r="DF33" s="38"/>
      <c r="DG33" s="38"/>
      <c r="DH33" s="38"/>
      <c r="DI33" s="38"/>
      <c r="DJ33" s="38"/>
      <c r="DK33" s="38"/>
      <c r="DL33" s="38"/>
      <c r="DM33" s="38"/>
      <c r="DN33" s="38"/>
      <c r="DO33" s="38"/>
      <c r="DP33" s="38"/>
      <c r="DQ33" s="38"/>
      <c r="DR33" s="38"/>
      <c r="DS33" s="38"/>
      <c r="DT33" s="38"/>
      <c r="DU33" s="38"/>
      <c r="DV33" s="38"/>
      <c r="DW33" s="38"/>
      <c r="DX33" s="38"/>
      <c r="DY33" s="38"/>
      <c r="DZ33" s="38"/>
      <c r="EA33" s="38"/>
      <c r="EB33" s="38"/>
      <c r="EC33" s="38"/>
      <c r="ED33" s="38"/>
      <c r="EE33" s="38"/>
      <c r="EF33" s="38"/>
      <c r="EG33" s="38"/>
      <c r="EH33" s="38"/>
      <c r="EI33" s="38"/>
      <c r="EJ33" s="38"/>
      <c r="EK33" s="38"/>
      <c r="EL33" s="38"/>
      <c r="EM33" s="38"/>
    </row>
    <row r="34" spans="2:143" x14ac:dyDescent="0.3">
      <c r="B34" s="38"/>
      <c r="C34" s="38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8"/>
      <c r="AO34" s="38"/>
      <c r="AP34" s="38"/>
      <c r="AQ34" s="38"/>
      <c r="AR34" s="38"/>
      <c r="AS34" s="38"/>
      <c r="AT34" s="38"/>
      <c r="AU34" s="38"/>
      <c r="AV34" s="38"/>
      <c r="AW34" s="38"/>
      <c r="AX34" s="38"/>
      <c r="AY34" s="38"/>
      <c r="AZ34" s="38"/>
      <c r="BA34" s="38"/>
      <c r="BB34" s="38"/>
      <c r="BC34" s="38"/>
      <c r="BD34" s="38"/>
      <c r="BE34" s="38"/>
      <c r="BF34" s="38"/>
      <c r="BG34" s="38"/>
      <c r="BH34" s="38"/>
      <c r="BI34" s="38"/>
      <c r="BJ34" s="38"/>
      <c r="BK34" s="38"/>
      <c r="BL34" s="38"/>
      <c r="BM34" s="38"/>
      <c r="BN34" s="38"/>
      <c r="BO34" s="38"/>
      <c r="BP34" s="38"/>
      <c r="BQ34" s="38"/>
      <c r="BR34" s="38"/>
      <c r="BS34" s="38"/>
      <c r="BT34" s="38"/>
      <c r="BU34" s="38"/>
      <c r="BV34" s="38"/>
      <c r="BW34" s="38"/>
      <c r="BX34" s="38"/>
      <c r="BY34" s="38"/>
      <c r="BZ34" s="38"/>
      <c r="CA34" s="38"/>
      <c r="CB34" s="38"/>
      <c r="CC34" s="38"/>
      <c r="CD34" s="38"/>
      <c r="CE34" s="38"/>
      <c r="CF34" s="38"/>
      <c r="CG34" s="38"/>
      <c r="CH34" s="38"/>
      <c r="CI34" s="38"/>
      <c r="CJ34" s="38"/>
      <c r="CK34" s="38"/>
      <c r="CL34" s="38"/>
      <c r="CM34" s="38"/>
      <c r="CN34" s="38"/>
      <c r="CO34" s="38"/>
      <c r="CP34" s="38"/>
      <c r="CQ34" s="38"/>
      <c r="CR34" s="38"/>
      <c r="CS34" s="38"/>
      <c r="CT34" s="38"/>
      <c r="CU34" s="38"/>
      <c r="CV34" s="38"/>
      <c r="CW34" s="38"/>
      <c r="CX34" s="38"/>
      <c r="CY34" s="38"/>
      <c r="CZ34" s="38"/>
      <c r="DA34" s="38"/>
      <c r="DB34" s="38"/>
      <c r="DC34" s="38"/>
      <c r="DD34" s="38"/>
      <c r="DE34" s="38"/>
      <c r="DF34" s="38"/>
      <c r="DG34" s="38"/>
      <c r="DH34" s="38"/>
      <c r="DI34" s="38"/>
      <c r="DJ34" s="38"/>
      <c r="DK34" s="38"/>
      <c r="DL34" s="38"/>
      <c r="DM34" s="38"/>
      <c r="DN34" s="38"/>
      <c r="DO34" s="38"/>
      <c r="DP34" s="38"/>
      <c r="DQ34" s="38"/>
      <c r="DR34" s="38"/>
      <c r="DS34" s="38"/>
      <c r="DT34" s="38"/>
      <c r="DU34" s="38"/>
      <c r="DV34" s="38"/>
      <c r="DW34" s="38"/>
      <c r="DX34" s="38"/>
      <c r="DY34" s="38"/>
      <c r="DZ34" s="38"/>
      <c r="EA34" s="38"/>
      <c r="EB34" s="38"/>
      <c r="EC34" s="38"/>
      <c r="ED34" s="38"/>
      <c r="EE34" s="38"/>
      <c r="EF34" s="38"/>
      <c r="EG34" s="38"/>
      <c r="EH34" s="38"/>
      <c r="EI34" s="38"/>
      <c r="EJ34" s="38"/>
      <c r="EK34" s="38"/>
      <c r="EL34" s="38"/>
      <c r="EM34" s="38"/>
    </row>
    <row r="35" spans="2:143" x14ac:dyDescent="0.3">
      <c r="B35" s="38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  <c r="Z35" s="38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8"/>
      <c r="AL35" s="38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38"/>
      <c r="AX35" s="38"/>
      <c r="AY35" s="38"/>
      <c r="AZ35" s="38"/>
      <c r="BA35" s="38"/>
      <c r="BB35" s="38"/>
      <c r="BC35" s="38"/>
      <c r="BD35" s="38"/>
      <c r="BE35" s="38"/>
      <c r="BF35" s="38"/>
      <c r="BG35" s="38"/>
      <c r="BH35" s="38"/>
      <c r="BI35" s="38"/>
      <c r="BJ35" s="38"/>
      <c r="BK35" s="38"/>
      <c r="BL35" s="38"/>
      <c r="BM35" s="38"/>
      <c r="BN35" s="38"/>
      <c r="BO35" s="38"/>
      <c r="BP35" s="38"/>
      <c r="BQ35" s="38"/>
      <c r="BR35" s="38"/>
      <c r="BS35" s="38"/>
      <c r="BT35" s="38"/>
      <c r="BU35" s="38"/>
      <c r="BV35" s="38"/>
      <c r="BW35" s="38"/>
      <c r="BX35" s="38"/>
      <c r="BY35" s="38"/>
      <c r="BZ35" s="38"/>
      <c r="CA35" s="38"/>
      <c r="CB35" s="38"/>
      <c r="CC35" s="38"/>
      <c r="CD35" s="38"/>
      <c r="CE35" s="38"/>
      <c r="CF35" s="38"/>
      <c r="CG35" s="38"/>
      <c r="CH35" s="38"/>
      <c r="CI35" s="38"/>
      <c r="CJ35" s="38"/>
      <c r="CK35" s="38"/>
      <c r="CL35" s="38"/>
      <c r="CM35" s="38"/>
      <c r="CN35" s="38"/>
      <c r="CO35" s="38"/>
      <c r="CP35" s="38"/>
      <c r="CQ35" s="38"/>
      <c r="CR35" s="38"/>
      <c r="CS35" s="38"/>
      <c r="CT35" s="38"/>
      <c r="CU35" s="38"/>
      <c r="CV35" s="38"/>
      <c r="CW35" s="38"/>
      <c r="CX35" s="38"/>
      <c r="CY35" s="38"/>
      <c r="CZ35" s="38"/>
      <c r="DA35" s="38"/>
      <c r="DB35" s="38"/>
      <c r="DC35" s="38"/>
      <c r="DD35" s="38"/>
      <c r="DE35" s="38"/>
      <c r="DF35" s="38"/>
      <c r="DG35" s="38"/>
      <c r="DH35" s="38"/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  <c r="EI35" s="38"/>
      <c r="EJ35" s="38"/>
      <c r="EK35" s="38"/>
      <c r="EL35" s="38"/>
      <c r="EM35" s="38"/>
    </row>
    <row r="36" spans="2:143" x14ac:dyDescent="0.3"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8"/>
      <c r="AA36" s="38"/>
      <c r="AB36" s="38"/>
      <c r="AC36" s="38"/>
      <c r="AD36" s="38"/>
      <c r="AE36" s="38"/>
      <c r="AF36" s="38"/>
      <c r="AG36" s="38"/>
      <c r="AH36" s="38"/>
      <c r="AI36" s="38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  <c r="AZ36" s="38"/>
      <c r="BA36" s="38"/>
      <c r="BB36" s="38"/>
      <c r="BC36" s="38"/>
      <c r="BD36" s="38"/>
      <c r="BE36" s="38"/>
      <c r="BF36" s="38"/>
      <c r="BG36" s="38"/>
      <c r="BH36" s="38"/>
      <c r="BI36" s="38"/>
      <c r="BJ36" s="38"/>
      <c r="BK36" s="38"/>
      <c r="BL36" s="38"/>
      <c r="BM36" s="38"/>
      <c r="BN36" s="38"/>
      <c r="BO36" s="38"/>
      <c r="BP36" s="38"/>
      <c r="BQ36" s="38"/>
      <c r="BR36" s="38"/>
      <c r="BS36" s="38"/>
      <c r="BT36" s="38"/>
      <c r="BU36" s="38"/>
      <c r="BV36" s="38"/>
      <c r="BW36" s="38"/>
      <c r="BX36" s="38"/>
      <c r="BY36" s="38"/>
      <c r="BZ36" s="38"/>
      <c r="CA36" s="38"/>
      <c r="CB36" s="38"/>
      <c r="CC36" s="38"/>
      <c r="CD36" s="38"/>
      <c r="CE36" s="38"/>
      <c r="CF36" s="38"/>
      <c r="CG36" s="38"/>
      <c r="CH36" s="38"/>
      <c r="CI36" s="38"/>
      <c r="CJ36" s="38"/>
      <c r="CK36" s="38"/>
      <c r="CL36" s="38"/>
      <c r="CM36" s="38"/>
      <c r="CN36" s="38"/>
      <c r="CO36" s="38"/>
      <c r="CP36" s="38"/>
      <c r="CQ36" s="38"/>
      <c r="CR36" s="38"/>
      <c r="CS36" s="38"/>
      <c r="CT36" s="38"/>
      <c r="CU36" s="38"/>
      <c r="CV36" s="38"/>
      <c r="CW36" s="38"/>
      <c r="CX36" s="38"/>
      <c r="CY36" s="38"/>
      <c r="CZ36" s="38"/>
      <c r="DA36" s="38"/>
      <c r="DB36" s="38"/>
      <c r="DC36" s="38"/>
      <c r="DD36" s="38"/>
      <c r="DE36" s="38"/>
      <c r="DF36" s="38"/>
      <c r="DG36" s="38"/>
      <c r="DH36" s="38"/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  <c r="EI36" s="38"/>
      <c r="EJ36" s="38"/>
      <c r="EK36" s="38"/>
      <c r="EL36" s="38"/>
      <c r="EM36" s="38"/>
    </row>
    <row r="37" spans="2:143" x14ac:dyDescent="0.3"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  <c r="AZ37" s="38"/>
      <c r="BA37" s="38"/>
      <c r="BB37" s="38"/>
      <c r="BC37" s="38"/>
      <c r="BD37" s="38"/>
      <c r="BE37" s="38"/>
      <c r="BF37" s="38"/>
      <c r="BG37" s="38"/>
      <c r="BH37" s="38"/>
      <c r="BI37" s="38"/>
      <c r="BJ37" s="38"/>
      <c r="BK37" s="38"/>
      <c r="BL37" s="38"/>
      <c r="BM37" s="38"/>
      <c r="BN37" s="38"/>
      <c r="BO37" s="38"/>
      <c r="BP37" s="38"/>
      <c r="BQ37" s="38"/>
      <c r="BR37" s="38"/>
      <c r="BS37" s="38"/>
      <c r="BT37" s="38"/>
      <c r="BU37" s="38"/>
      <c r="BV37" s="38"/>
      <c r="BW37" s="38"/>
      <c r="BX37" s="38"/>
      <c r="BY37" s="38"/>
      <c r="BZ37" s="38"/>
      <c r="CA37" s="38"/>
      <c r="CB37" s="38"/>
      <c r="CC37" s="38"/>
      <c r="CD37" s="38"/>
      <c r="CE37" s="38"/>
      <c r="CF37" s="38"/>
      <c r="CG37" s="38"/>
      <c r="CH37" s="38"/>
      <c r="CI37" s="38"/>
      <c r="CJ37" s="38"/>
      <c r="CK37" s="38"/>
      <c r="CL37" s="38"/>
      <c r="CM37" s="38"/>
      <c r="CN37" s="38"/>
      <c r="CO37" s="38"/>
      <c r="CP37" s="38"/>
      <c r="CQ37" s="38"/>
      <c r="CR37" s="38"/>
      <c r="CS37" s="38"/>
      <c r="CT37" s="38"/>
      <c r="CU37" s="38"/>
      <c r="CV37" s="38"/>
      <c r="CW37" s="38"/>
      <c r="CX37" s="38"/>
      <c r="CY37" s="38"/>
      <c r="CZ37" s="38"/>
      <c r="DA37" s="38"/>
      <c r="DB37" s="38"/>
      <c r="DC37" s="38"/>
      <c r="DD37" s="38"/>
      <c r="DE37" s="38"/>
      <c r="DF37" s="38"/>
      <c r="DG37" s="38"/>
      <c r="DH37" s="38"/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  <c r="EI37" s="38"/>
      <c r="EJ37" s="38"/>
      <c r="EK37" s="38"/>
      <c r="EL37" s="38"/>
      <c r="EM37" s="38"/>
    </row>
    <row r="38" spans="2:143" x14ac:dyDescent="0.3"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  <c r="Y38" s="38"/>
      <c r="Z38" s="38"/>
      <c r="AA38" s="38"/>
      <c r="AB38" s="38"/>
      <c r="AC38" s="38"/>
      <c r="AD38" s="38"/>
      <c r="AE38" s="38"/>
      <c r="AF38" s="38"/>
      <c r="AG38" s="38"/>
      <c r="AH38" s="38"/>
      <c r="AI38" s="38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  <c r="AZ38" s="38"/>
      <c r="BA38" s="38"/>
      <c r="BB38" s="38"/>
      <c r="BC38" s="38"/>
      <c r="BD38" s="38"/>
      <c r="BE38" s="38"/>
      <c r="BF38" s="38"/>
      <c r="BG38" s="38"/>
      <c r="BH38" s="38"/>
      <c r="BI38" s="38"/>
      <c r="BJ38" s="38"/>
      <c r="BK38" s="38"/>
      <c r="BL38" s="38"/>
      <c r="BM38" s="38"/>
      <c r="BN38" s="38"/>
      <c r="BO38" s="38"/>
      <c r="BP38" s="38"/>
      <c r="BQ38" s="38"/>
      <c r="BR38" s="38"/>
      <c r="BS38" s="38"/>
      <c r="BT38" s="38"/>
      <c r="BU38" s="38"/>
      <c r="BV38" s="38"/>
      <c r="BW38" s="38"/>
      <c r="BX38" s="38"/>
      <c r="BY38" s="38"/>
      <c r="BZ38" s="38"/>
      <c r="CA38" s="38"/>
      <c r="CB38" s="38"/>
      <c r="CC38" s="38"/>
      <c r="CD38" s="38"/>
      <c r="CE38" s="38"/>
      <c r="CF38" s="38"/>
      <c r="CG38" s="38"/>
      <c r="CH38" s="38"/>
      <c r="CI38" s="38"/>
      <c r="CJ38" s="38"/>
      <c r="CK38" s="38"/>
      <c r="CL38" s="38"/>
      <c r="CM38" s="38"/>
      <c r="CN38" s="38"/>
      <c r="CO38" s="38"/>
      <c r="CP38" s="38"/>
      <c r="CQ38" s="38"/>
      <c r="CR38" s="38"/>
      <c r="CS38" s="38"/>
      <c r="CT38" s="38"/>
      <c r="CU38" s="38"/>
      <c r="CV38" s="38"/>
      <c r="CW38" s="38"/>
      <c r="CX38" s="38"/>
      <c r="CY38" s="38"/>
      <c r="CZ38" s="38"/>
      <c r="DA38" s="38"/>
      <c r="DB38" s="38"/>
      <c r="DC38" s="38"/>
      <c r="DD38" s="38"/>
      <c r="DE38" s="38"/>
      <c r="DF38" s="38"/>
      <c r="DG38" s="38"/>
      <c r="DH38" s="38"/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  <c r="EI38" s="38"/>
      <c r="EJ38" s="38"/>
      <c r="EK38" s="38"/>
      <c r="EL38" s="38"/>
      <c r="EM38" s="38"/>
    </row>
    <row r="39" spans="2:143" x14ac:dyDescent="0.3"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8"/>
      <c r="V39" s="38"/>
      <c r="W39" s="38"/>
      <c r="X39" s="38"/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  <c r="BL39" s="38"/>
      <c r="BM39" s="38"/>
      <c r="BN39" s="38"/>
      <c r="BO39" s="38"/>
      <c r="BP39" s="38"/>
      <c r="BQ39" s="38"/>
      <c r="BR39" s="38"/>
      <c r="BS39" s="38"/>
      <c r="BT39" s="38"/>
      <c r="BU39" s="38"/>
      <c r="BV39" s="38"/>
      <c r="BW39" s="38"/>
      <c r="BX39" s="38"/>
      <c r="BY39" s="38"/>
      <c r="BZ39" s="38"/>
      <c r="CA39" s="38"/>
      <c r="CB39" s="38"/>
      <c r="CC39" s="38"/>
      <c r="CD39" s="38"/>
      <c r="CE39" s="38"/>
      <c r="CF39" s="38"/>
      <c r="CG39" s="38"/>
      <c r="CH39" s="38"/>
      <c r="CI39" s="38"/>
      <c r="CJ39" s="38"/>
      <c r="CK39" s="38"/>
      <c r="CL39" s="38"/>
      <c r="CM39" s="38"/>
      <c r="CN39" s="38"/>
      <c r="CO39" s="38"/>
      <c r="CP39" s="38"/>
      <c r="CQ39" s="38"/>
      <c r="CR39" s="38"/>
      <c r="CS39" s="38"/>
      <c r="CT39" s="38"/>
      <c r="CU39" s="38"/>
      <c r="CV39" s="38"/>
      <c r="CW39" s="38"/>
      <c r="CX39" s="38"/>
      <c r="CY39" s="38"/>
      <c r="CZ39" s="38"/>
      <c r="DA39" s="38"/>
      <c r="DB39" s="38"/>
      <c r="DC39" s="38"/>
      <c r="DD39" s="38"/>
      <c r="DE39" s="38"/>
      <c r="DF39" s="38"/>
      <c r="DG39" s="38"/>
      <c r="DH39" s="38"/>
      <c r="DI39" s="38"/>
      <c r="DJ39" s="38"/>
      <c r="DK39" s="38"/>
      <c r="DL39" s="38"/>
      <c r="DM39" s="38"/>
      <c r="DN39" s="38"/>
      <c r="DO39" s="38"/>
      <c r="DP39" s="38"/>
      <c r="DQ39" s="38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  <c r="EI39" s="38"/>
      <c r="EJ39" s="38"/>
      <c r="EK39" s="38"/>
      <c r="EL39" s="38"/>
      <c r="EM39" s="38"/>
    </row>
    <row r="40" spans="2:143" x14ac:dyDescent="0.3"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8"/>
      <c r="V40" s="38"/>
      <c r="W40" s="38"/>
      <c r="X40" s="38"/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  <c r="AZ40" s="38"/>
      <c r="BA40" s="38"/>
      <c r="BB40" s="38"/>
      <c r="BC40" s="38"/>
      <c r="BD40" s="38"/>
      <c r="BE40" s="38"/>
      <c r="BF40" s="38"/>
      <c r="BG40" s="38"/>
      <c r="BH40" s="38"/>
      <c r="BI40" s="38"/>
      <c r="BJ40" s="38"/>
      <c r="BK40" s="38"/>
      <c r="BL40" s="38"/>
      <c r="BM40" s="38"/>
      <c r="BN40" s="38"/>
      <c r="BO40" s="38"/>
      <c r="BP40" s="38"/>
      <c r="BQ40" s="38"/>
      <c r="BR40" s="38"/>
      <c r="BS40" s="38"/>
      <c r="BT40" s="38"/>
      <c r="BU40" s="38"/>
      <c r="BV40" s="38"/>
      <c r="BW40" s="38"/>
      <c r="BX40" s="38"/>
      <c r="BY40" s="38"/>
      <c r="BZ40" s="38"/>
      <c r="CA40" s="38"/>
      <c r="CB40" s="38"/>
      <c r="CC40" s="38"/>
      <c r="CD40" s="38"/>
      <c r="CE40" s="38"/>
      <c r="CF40" s="38"/>
      <c r="CG40" s="38"/>
      <c r="CH40" s="38"/>
      <c r="CI40" s="38"/>
      <c r="CJ40" s="38"/>
      <c r="CK40" s="38"/>
      <c r="CL40" s="38"/>
      <c r="CM40" s="38"/>
      <c r="CN40" s="38"/>
      <c r="CO40" s="38"/>
      <c r="CP40" s="38"/>
      <c r="CQ40" s="38"/>
      <c r="CR40" s="38"/>
      <c r="CS40" s="38"/>
      <c r="CT40" s="38"/>
      <c r="CU40" s="38"/>
      <c r="CV40" s="38"/>
      <c r="CW40" s="38"/>
      <c r="CX40" s="38"/>
      <c r="CY40" s="38"/>
      <c r="CZ40" s="38"/>
      <c r="DA40" s="38"/>
      <c r="DB40" s="38"/>
      <c r="DC40" s="38"/>
      <c r="DD40" s="38"/>
      <c r="DE40" s="38"/>
      <c r="DF40" s="38"/>
      <c r="DG40" s="38"/>
      <c r="DH40" s="38"/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  <c r="EI40" s="38"/>
      <c r="EJ40" s="38"/>
      <c r="EK40" s="38"/>
      <c r="EL40" s="38"/>
      <c r="EM40" s="38"/>
    </row>
    <row r="41" spans="2:143" x14ac:dyDescent="0.3"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</row>
    <row r="42" spans="2:143" x14ac:dyDescent="0.3"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  <c r="AZ42" s="38"/>
      <c r="BA42" s="38"/>
      <c r="BB42" s="38"/>
      <c r="BC42" s="38"/>
      <c r="BD42" s="38"/>
      <c r="BE42" s="38"/>
      <c r="BF42" s="38"/>
      <c r="BG42" s="38"/>
      <c r="BH42" s="38"/>
      <c r="BI42" s="38"/>
      <c r="BJ42" s="38"/>
      <c r="BK42" s="38"/>
      <c r="BL42" s="38"/>
      <c r="BM42" s="38"/>
      <c r="BN42" s="38"/>
      <c r="BO42" s="38"/>
      <c r="BP42" s="38"/>
      <c r="BQ42" s="38"/>
      <c r="BR42" s="38"/>
      <c r="BS42" s="38"/>
      <c r="BT42" s="38"/>
      <c r="BU42" s="38"/>
      <c r="BV42" s="38"/>
      <c r="BW42" s="38"/>
      <c r="BX42" s="38"/>
      <c r="BY42" s="38"/>
      <c r="BZ42" s="38"/>
      <c r="CA42" s="38"/>
      <c r="CB42" s="38"/>
      <c r="CC42" s="38"/>
      <c r="CD42" s="38"/>
      <c r="CE42" s="38"/>
      <c r="CF42" s="38"/>
      <c r="CG42" s="38"/>
      <c r="CH42" s="38"/>
      <c r="CI42" s="38"/>
      <c r="CJ42" s="38"/>
      <c r="CK42" s="38"/>
      <c r="CL42" s="38"/>
      <c r="CM42" s="38"/>
      <c r="CN42" s="38"/>
      <c r="CO42" s="38"/>
      <c r="CP42" s="38"/>
      <c r="CQ42" s="38"/>
      <c r="CR42" s="38"/>
      <c r="CS42" s="38"/>
      <c r="CT42" s="38"/>
      <c r="CU42" s="38"/>
      <c r="CV42" s="38"/>
      <c r="CW42" s="38"/>
      <c r="CX42" s="38"/>
      <c r="CY42" s="38"/>
      <c r="CZ42" s="38"/>
      <c r="DA42" s="38"/>
      <c r="DB42" s="38"/>
      <c r="DC42" s="38"/>
      <c r="DD42" s="38"/>
      <c r="DE42" s="38"/>
      <c r="DF42" s="38"/>
      <c r="DG42" s="38"/>
      <c r="DH42" s="38"/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  <c r="EI42" s="38"/>
      <c r="EJ42" s="38"/>
      <c r="EK42" s="38"/>
      <c r="EL42" s="38"/>
      <c r="EM42" s="38"/>
    </row>
    <row r="43" spans="2:143" x14ac:dyDescent="0.3"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  <c r="AZ43" s="38"/>
      <c r="BA43" s="38"/>
      <c r="BB43" s="38"/>
      <c r="BC43" s="38"/>
      <c r="BD43" s="38"/>
      <c r="BE43" s="38"/>
      <c r="BF43" s="38"/>
      <c r="BG43" s="38"/>
      <c r="BH43" s="38"/>
      <c r="BI43" s="38"/>
      <c r="BJ43" s="38"/>
      <c r="BK43" s="38"/>
      <c r="BL43" s="38"/>
      <c r="BM43" s="38"/>
      <c r="BN43" s="38"/>
      <c r="BO43" s="38"/>
      <c r="BP43" s="38"/>
      <c r="BQ43" s="38"/>
      <c r="BR43" s="38"/>
      <c r="BS43" s="38"/>
      <c r="BT43" s="38"/>
      <c r="BU43" s="38"/>
      <c r="BV43" s="38"/>
      <c r="BW43" s="38"/>
      <c r="BX43" s="38"/>
      <c r="BY43" s="38"/>
      <c r="BZ43" s="38"/>
      <c r="CA43" s="38"/>
      <c r="CB43" s="38"/>
      <c r="CC43" s="38"/>
      <c r="CD43" s="38"/>
      <c r="CE43" s="38"/>
      <c r="CF43" s="38"/>
      <c r="CG43" s="38"/>
      <c r="CH43" s="38"/>
      <c r="CI43" s="38"/>
      <c r="CJ43" s="38"/>
      <c r="CK43" s="38"/>
      <c r="CL43" s="38"/>
      <c r="CM43" s="38"/>
      <c r="CN43" s="38"/>
      <c r="CO43" s="38"/>
      <c r="CP43" s="38"/>
      <c r="CQ43" s="38"/>
      <c r="CR43" s="38"/>
      <c r="CS43" s="38"/>
      <c r="CT43" s="38"/>
      <c r="CU43" s="38"/>
      <c r="CV43" s="38"/>
      <c r="CW43" s="38"/>
      <c r="CX43" s="38"/>
      <c r="CY43" s="38"/>
      <c r="CZ43" s="38"/>
      <c r="DA43" s="38"/>
      <c r="DB43" s="38"/>
      <c r="DC43" s="38"/>
      <c r="DD43" s="38"/>
      <c r="DE43" s="38"/>
      <c r="DF43" s="38"/>
      <c r="DG43" s="38"/>
      <c r="DH43" s="38"/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  <c r="EI43" s="38"/>
      <c r="EJ43" s="38"/>
      <c r="EK43" s="38"/>
      <c r="EL43" s="38"/>
      <c r="EM43" s="38"/>
    </row>
    <row r="44" spans="2:143" x14ac:dyDescent="0.3"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  <c r="AZ44" s="38"/>
      <c r="BA44" s="38"/>
      <c r="BB44" s="38"/>
      <c r="BC44" s="38"/>
      <c r="BD44" s="38"/>
      <c r="BE44" s="38"/>
      <c r="BF44" s="38"/>
      <c r="BG44" s="38"/>
      <c r="BH44" s="38"/>
      <c r="BI44" s="38"/>
      <c r="BJ44" s="38"/>
      <c r="BK44" s="38"/>
      <c r="BL44" s="38"/>
      <c r="BM44" s="38"/>
      <c r="BN44" s="38"/>
      <c r="BO44" s="38"/>
      <c r="BP44" s="38"/>
      <c r="BQ44" s="38"/>
      <c r="BR44" s="38"/>
      <c r="BS44" s="38"/>
      <c r="BT44" s="38"/>
      <c r="BU44" s="38"/>
      <c r="BV44" s="38"/>
      <c r="BW44" s="38"/>
      <c r="BX44" s="38"/>
      <c r="BY44" s="38"/>
      <c r="BZ44" s="38"/>
      <c r="CA44" s="38"/>
      <c r="CB44" s="38"/>
      <c r="CC44" s="38"/>
      <c r="CD44" s="38"/>
      <c r="CE44" s="38"/>
      <c r="CF44" s="38"/>
      <c r="CG44" s="38"/>
      <c r="CH44" s="38"/>
      <c r="CI44" s="38"/>
      <c r="CJ44" s="38"/>
      <c r="CK44" s="38"/>
      <c r="CL44" s="38"/>
      <c r="CM44" s="38"/>
      <c r="CN44" s="38"/>
      <c r="CO44" s="38"/>
      <c r="CP44" s="38"/>
      <c r="CQ44" s="38"/>
      <c r="CR44" s="38"/>
      <c r="CS44" s="38"/>
      <c r="CT44" s="38"/>
      <c r="CU44" s="38"/>
      <c r="CV44" s="38"/>
      <c r="CW44" s="38"/>
      <c r="CX44" s="38"/>
      <c r="CY44" s="38"/>
      <c r="CZ44" s="38"/>
      <c r="DA44" s="38"/>
      <c r="DB44" s="38"/>
      <c r="DC44" s="38"/>
      <c r="DD44" s="38"/>
      <c r="DE44" s="38"/>
      <c r="DF44" s="38"/>
      <c r="DG44" s="38"/>
      <c r="DH44" s="38"/>
      <c r="DI44" s="38"/>
      <c r="DJ44" s="38"/>
      <c r="DK44" s="38"/>
      <c r="DL44" s="38"/>
      <c r="DM44" s="38"/>
      <c r="DN44" s="38"/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  <c r="EH44" s="38"/>
      <c r="EI44" s="38"/>
      <c r="EJ44" s="38"/>
      <c r="EK44" s="38"/>
      <c r="EL44" s="38"/>
      <c r="EM44" s="38"/>
    </row>
    <row r="45" spans="2:143" x14ac:dyDescent="0.3"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  <c r="AZ45" s="38"/>
      <c r="BA45" s="38"/>
      <c r="BB45" s="38"/>
      <c r="BC45" s="38"/>
      <c r="BD45" s="38"/>
      <c r="BE45" s="38"/>
      <c r="BF45" s="38"/>
      <c r="BG45" s="38"/>
      <c r="BH45" s="38"/>
      <c r="BI45" s="38"/>
      <c r="BJ45" s="38"/>
      <c r="BK45" s="38"/>
      <c r="BL45" s="38"/>
      <c r="BM45" s="38"/>
      <c r="BN45" s="38"/>
      <c r="BO45" s="38"/>
      <c r="BP45" s="38"/>
      <c r="BQ45" s="38"/>
      <c r="BR45" s="38"/>
      <c r="BS45" s="38"/>
      <c r="BT45" s="38"/>
      <c r="BU45" s="38"/>
      <c r="BV45" s="38"/>
      <c r="BW45" s="38"/>
      <c r="BX45" s="38"/>
      <c r="BY45" s="38"/>
      <c r="BZ45" s="38"/>
      <c r="CA45" s="38"/>
      <c r="CB45" s="38"/>
      <c r="CC45" s="38"/>
      <c r="CD45" s="38"/>
      <c r="CE45" s="38"/>
      <c r="CF45" s="38"/>
      <c r="CG45" s="38"/>
      <c r="CH45" s="38"/>
      <c r="CI45" s="38"/>
      <c r="CJ45" s="38"/>
      <c r="CK45" s="38"/>
      <c r="CL45" s="38"/>
      <c r="CM45" s="38"/>
      <c r="CN45" s="38"/>
      <c r="CO45" s="38"/>
      <c r="CP45" s="38"/>
      <c r="CQ45" s="38"/>
      <c r="CR45" s="38"/>
      <c r="CS45" s="38"/>
      <c r="CT45" s="38"/>
      <c r="CU45" s="38"/>
      <c r="CV45" s="38"/>
      <c r="CW45" s="38"/>
      <c r="CX45" s="38"/>
      <c r="CY45" s="38"/>
      <c r="CZ45" s="38"/>
      <c r="DA45" s="38"/>
      <c r="DB45" s="38"/>
      <c r="DC45" s="38"/>
      <c r="DD45" s="38"/>
      <c r="DE45" s="38"/>
      <c r="DF45" s="38"/>
      <c r="DG45" s="38"/>
      <c r="DH45" s="38"/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  <c r="EI45" s="38"/>
      <c r="EJ45" s="38"/>
      <c r="EK45" s="38"/>
      <c r="EL45" s="38"/>
      <c r="EM45" s="38"/>
    </row>
    <row r="46" spans="2:143" x14ac:dyDescent="0.3"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</row>
    <row r="47" spans="2:143" x14ac:dyDescent="0.3"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  <c r="AZ47" s="38"/>
      <c r="BA47" s="38"/>
      <c r="BB47" s="38"/>
      <c r="BC47" s="38"/>
      <c r="BD47" s="38"/>
      <c r="BE47" s="38"/>
      <c r="BF47" s="38"/>
      <c r="BG47" s="38"/>
      <c r="BH47" s="38"/>
      <c r="BI47" s="38"/>
      <c r="BJ47" s="38"/>
      <c r="BK47" s="38"/>
      <c r="BL47" s="38"/>
      <c r="BM47" s="38"/>
      <c r="BN47" s="38"/>
      <c r="BO47" s="38"/>
      <c r="BP47" s="38"/>
      <c r="BQ47" s="38"/>
      <c r="BR47" s="38"/>
      <c r="BS47" s="38"/>
      <c r="BT47" s="38"/>
      <c r="BU47" s="38"/>
      <c r="BV47" s="38"/>
      <c r="BW47" s="38"/>
      <c r="BX47" s="38"/>
      <c r="BY47" s="38"/>
      <c r="BZ47" s="38"/>
      <c r="CA47" s="38"/>
      <c r="CB47" s="38"/>
      <c r="CC47" s="38"/>
      <c r="CD47" s="38"/>
      <c r="CE47" s="38"/>
      <c r="CF47" s="38"/>
      <c r="CG47" s="38"/>
      <c r="CH47" s="38"/>
      <c r="CI47" s="38"/>
      <c r="CJ47" s="38"/>
      <c r="CK47" s="38"/>
      <c r="CL47" s="38"/>
      <c r="CM47" s="38"/>
      <c r="CN47" s="38"/>
      <c r="CO47" s="38"/>
      <c r="CP47" s="38"/>
      <c r="CQ47" s="38"/>
      <c r="CR47" s="38"/>
      <c r="CS47" s="38"/>
      <c r="CT47" s="38"/>
      <c r="CU47" s="38"/>
      <c r="CV47" s="38"/>
      <c r="CW47" s="38"/>
      <c r="CX47" s="38"/>
      <c r="CY47" s="38"/>
      <c r="CZ47" s="38"/>
      <c r="DA47" s="38"/>
      <c r="DB47" s="38"/>
      <c r="DC47" s="38"/>
      <c r="DD47" s="38"/>
      <c r="DE47" s="38"/>
      <c r="DF47" s="38"/>
      <c r="DG47" s="38"/>
      <c r="DH47" s="38"/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  <c r="EI47" s="38"/>
      <c r="EJ47" s="38"/>
      <c r="EK47" s="38"/>
      <c r="EL47" s="38"/>
      <c r="EM47" s="38"/>
    </row>
    <row r="48" spans="2:143" x14ac:dyDescent="0.3"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  <c r="AZ48" s="38"/>
      <c r="BA48" s="38"/>
      <c r="BB48" s="38"/>
      <c r="BC48" s="38"/>
      <c r="BD48" s="38"/>
      <c r="BE48" s="38"/>
      <c r="BF48" s="38"/>
      <c r="BG48" s="38"/>
      <c r="BH48" s="38"/>
      <c r="BI48" s="38"/>
      <c r="BJ48" s="38"/>
      <c r="BK48" s="38"/>
      <c r="BL48" s="38"/>
      <c r="BM48" s="38"/>
      <c r="BN48" s="38"/>
      <c r="BO48" s="38"/>
      <c r="BP48" s="38"/>
      <c r="BQ48" s="38"/>
      <c r="BR48" s="38"/>
      <c r="BS48" s="38"/>
      <c r="BT48" s="38"/>
      <c r="BU48" s="38"/>
      <c r="BV48" s="38"/>
      <c r="BW48" s="38"/>
      <c r="BX48" s="38"/>
      <c r="BY48" s="38"/>
      <c r="BZ48" s="38"/>
      <c r="CA48" s="38"/>
      <c r="CB48" s="38"/>
      <c r="CC48" s="38"/>
      <c r="CD48" s="38"/>
      <c r="CE48" s="38"/>
      <c r="CF48" s="38"/>
      <c r="CG48" s="38"/>
      <c r="CH48" s="38"/>
      <c r="CI48" s="38"/>
      <c r="CJ48" s="38"/>
      <c r="CK48" s="38"/>
      <c r="CL48" s="38"/>
      <c r="CM48" s="38"/>
      <c r="CN48" s="38"/>
      <c r="CO48" s="38"/>
      <c r="CP48" s="38"/>
      <c r="CQ48" s="38"/>
      <c r="CR48" s="38"/>
      <c r="CS48" s="38"/>
      <c r="CT48" s="38"/>
      <c r="CU48" s="38"/>
      <c r="CV48" s="38"/>
      <c r="CW48" s="38"/>
      <c r="CX48" s="38"/>
      <c r="CY48" s="38"/>
      <c r="CZ48" s="38"/>
      <c r="DA48" s="38"/>
      <c r="DB48" s="38"/>
      <c r="DC48" s="38"/>
      <c r="DD48" s="38"/>
      <c r="DE48" s="38"/>
      <c r="DF48" s="38"/>
      <c r="DG48" s="38"/>
      <c r="DH48" s="38"/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  <c r="EI48" s="38"/>
      <c r="EJ48" s="38"/>
      <c r="EK48" s="38"/>
      <c r="EL48" s="38"/>
      <c r="EM48" s="38"/>
    </row>
    <row r="49" spans="2:143" x14ac:dyDescent="0.3"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</row>
    <row r="50" spans="2:143" x14ac:dyDescent="0.3"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</row>
    <row r="51" spans="2:143" x14ac:dyDescent="0.3"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</row>
    <row r="52" spans="2:143" x14ac:dyDescent="0.3"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  <c r="AZ52" s="38"/>
      <c r="BA52" s="38"/>
      <c r="BB52" s="38"/>
      <c r="BC52" s="38"/>
      <c r="BD52" s="38"/>
      <c r="BE52" s="38"/>
      <c r="BF52" s="38"/>
      <c r="BG52" s="38"/>
      <c r="BH52" s="38"/>
      <c r="BI52" s="38"/>
      <c r="BJ52" s="38"/>
      <c r="BK52" s="38"/>
      <c r="BL52" s="38"/>
      <c r="BM52" s="38"/>
      <c r="BN52" s="38"/>
      <c r="BO52" s="38"/>
      <c r="BP52" s="38"/>
      <c r="BQ52" s="38"/>
      <c r="BR52" s="38"/>
      <c r="BS52" s="38"/>
      <c r="BT52" s="38"/>
      <c r="BU52" s="38"/>
      <c r="BV52" s="38"/>
      <c r="BW52" s="38"/>
      <c r="BX52" s="38"/>
      <c r="BY52" s="38"/>
      <c r="BZ52" s="38"/>
      <c r="CA52" s="38"/>
      <c r="CB52" s="38"/>
      <c r="CC52" s="38"/>
      <c r="CD52" s="38"/>
      <c r="CE52" s="38"/>
      <c r="CF52" s="38"/>
      <c r="CG52" s="38"/>
      <c r="CH52" s="38"/>
      <c r="CI52" s="38"/>
      <c r="CJ52" s="38"/>
      <c r="CK52" s="38"/>
      <c r="CL52" s="38"/>
      <c r="CM52" s="38"/>
      <c r="CN52" s="38"/>
      <c r="CO52" s="38"/>
      <c r="CP52" s="38"/>
      <c r="CQ52" s="38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38"/>
      <c r="DC52" s="38"/>
      <c r="DD52" s="38"/>
      <c r="DE52" s="38"/>
      <c r="DF52" s="38"/>
      <c r="DG52" s="38"/>
      <c r="DH52" s="38"/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38"/>
      <c r="DU52" s="38"/>
      <c r="DV52" s="38"/>
      <c r="DW52" s="38"/>
      <c r="DX52" s="38"/>
      <c r="DY52" s="38"/>
      <c r="DZ52" s="38"/>
      <c r="EA52" s="38"/>
      <c r="EB52" s="38"/>
      <c r="EC52" s="38"/>
      <c r="ED52" s="38"/>
      <c r="EE52" s="38"/>
      <c r="EF52" s="38"/>
      <c r="EG52" s="38"/>
      <c r="EH52" s="38"/>
      <c r="EI52" s="38"/>
      <c r="EJ52" s="38"/>
      <c r="EK52" s="38"/>
      <c r="EL52" s="38"/>
      <c r="EM52" s="38"/>
    </row>
    <row r="53" spans="2:143" x14ac:dyDescent="0.3"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  <c r="AZ53" s="38"/>
      <c r="BA53" s="38"/>
      <c r="BB53" s="38"/>
      <c r="BC53" s="38"/>
      <c r="BD53" s="38"/>
      <c r="BE53" s="38"/>
      <c r="BF53" s="38"/>
      <c r="BG53" s="38"/>
      <c r="BH53" s="38"/>
      <c r="BI53" s="38"/>
      <c r="BJ53" s="38"/>
      <c r="BK53" s="38"/>
      <c r="BL53" s="38"/>
      <c r="BM53" s="38"/>
      <c r="BN53" s="38"/>
      <c r="BO53" s="38"/>
      <c r="BP53" s="38"/>
      <c r="BQ53" s="38"/>
      <c r="BR53" s="38"/>
      <c r="BS53" s="38"/>
      <c r="BT53" s="38"/>
      <c r="BU53" s="38"/>
      <c r="BV53" s="38"/>
      <c r="BW53" s="38"/>
      <c r="BX53" s="38"/>
      <c r="BY53" s="38"/>
      <c r="BZ53" s="38"/>
      <c r="CA53" s="38"/>
      <c r="CB53" s="38"/>
      <c r="CC53" s="38"/>
      <c r="CD53" s="38"/>
      <c r="CE53" s="38"/>
      <c r="CF53" s="38"/>
      <c r="CG53" s="38"/>
      <c r="CH53" s="38"/>
      <c r="CI53" s="38"/>
      <c r="CJ53" s="38"/>
      <c r="CK53" s="38"/>
      <c r="CL53" s="38"/>
      <c r="CM53" s="38"/>
      <c r="CN53" s="38"/>
      <c r="CO53" s="38"/>
      <c r="CP53" s="38"/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38"/>
      <c r="DC53" s="38"/>
      <c r="DD53" s="38"/>
      <c r="DE53" s="38"/>
      <c r="DF53" s="38"/>
      <c r="DG53" s="38"/>
      <c r="DH53" s="38"/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  <c r="EI53" s="38"/>
      <c r="EJ53" s="38"/>
      <c r="EK53" s="38"/>
      <c r="EL53" s="38"/>
      <c r="EM53" s="38"/>
    </row>
    <row r="54" spans="2:143" x14ac:dyDescent="0.3"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38"/>
      <c r="AK54" s="38"/>
      <c r="AL54" s="38"/>
      <c r="AM54" s="38"/>
      <c r="AN54" s="38"/>
      <c r="AO54" s="38"/>
      <c r="AP54" s="38"/>
      <c r="AQ54" s="38"/>
      <c r="AR54" s="38"/>
      <c r="AS54" s="38"/>
      <c r="AT54" s="38"/>
      <c r="AU54" s="38"/>
      <c r="AV54" s="38"/>
      <c r="AW54" s="38"/>
      <c r="AX54" s="38"/>
      <c r="AY54" s="38"/>
      <c r="AZ54" s="38"/>
      <c r="BA54" s="38"/>
      <c r="BB54" s="38"/>
      <c r="BC54" s="38"/>
      <c r="BD54" s="38"/>
      <c r="BE54" s="38"/>
      <c r="BF54" s="38"/>
      <c r="BG54" s="38"/>
      <c r="BH54" s="38"/>
      <c r="BI54" s="38"/>
      <c r="BJ54" s="38"/>
      <c r="BK54" s="38"/>
      <c r="BL54" s="38"/>
      <c r="BM54" s="38"/>
      <c r="BN54" s="38"/>
      <c r="BO54" s="38"/>
      <c r="BP54" s="38"/>
      <c r="BQ54" s="38"/>
      <c r="BR54" s="38"/>
      <c r="BS54" s="38"/>
      <c r="BT54" s="38"/>
      <c r="BU54" s="38"/>
      <c r="BV54" s="38"/>
      <c r="BW54" s="38"/>
      <c r="BX54" s="38"/>
      <c r="BY54" s="38"/>
      <c r="BZ54" s="38"/>
      <c r="CA54" s="38"/>
      <c r="CB54" s="38"/>
      <c r="CC54" s="38"/>
      <c r="CD54" s="38"/>
      <c r="CE54" s="38"/>
      <c r="CF54" s="38"/>
      <c r="CG54" s="38"/>
      <c r="CH54" s="38"/>
      <c r="CI54" s="38"/>
      <c r="CJ54" s="38"/>
      <c r="CK54" s="38"/>
      <c r="CL54" s="38"/>
      <c r="CM54" s="38"/>
      <c r="CN54" s="38"/>
      <c r="CO54" s="38"/>
      <c r="CP54" s="38"/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38"/>
      <c r="DC54" s="38"/>
      <c r="DD54" s="38"/>
      <c r="DE54" s="38"/>
      <c r="DF54" s="38"/>
      <c r="DG54" s="38"/>
      <c r="DH54" s="38"/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  <c r="EI54" s="38"/>
      <c r="EJ54" s="38"/>
      <c r="EK54" s="38"/>
      <c r="EL54" s="38"/>
      <c r="EM54" s="38"/>
    </row>
    <row r="55" spans="2:143" x14ac:dyDescent="0.3"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  <c r="AY55" s="38"/>
      <c r="AZ55" s="38"/>
      <c r="BA55" s="38"/>
      <c r="BB55" s="38"/>
      <c r="BC55" s="38"/>
      <c r="BD55" s="38"/>
      <c r="BE55" s="38"/>
      <c r="BF55" s="38"/>
      <c r="BG55" s="38"/>
      <c r="BH55" s="38"/>
      <c r="BI55" s="38"/>
      <c r="BJ55" s="38"/>
      <c r="BK55" s="38"/>
      <c r="BL55" s="38"/>
      <c r="BM55" s="38"/>
      <c r="BN55" s="38"/>
      <c r="BO55" s="38"/>
      <c r="BP55" s="38"/>
      <c r="BQ55" s="38"/>
      <c r="BR55" s="38"/>
      <c r="BS55" s="38"/>
      <c r="BT55" s="38"/>
      <c r="BU55" s="38"/>
      <c r="BV55" s="38"/>
      <c r="BW55" s="38"/>
      <c r="BX55" s="38"/>
      <c r="BY55" s="38"/>
      <c r="BZ55" s="38"/>
      <c r="CA55" s="38"/>
      <c r="CB55" s="38"/>
      <c r="CC55" s="38"/>
      <c r="CD55" s="38"/>
      <c r="CE55" s="38"/>
      <c r="CF55" s="38"/>
      <c r="CG55" s="38"/>
      <c r="CH55" s="38"/>
      <c r="CI55" s="38"/>
      <c r="CJ55" s="38"/>
      <c r="CK55" s="38"/>
      <c r="CL55" s="38"/>
      <c r="CM55" s="38"/>
      <c r="CN55" s="38"/>
      <c r="CO55" s="38"/>
      <c r="CP55" s="38"/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38"/>
      <c r="DC55" s="38"/>
      <c r="DD55" s="38"/>
      <c r="DE55" s="38"/>
      <c r="DF55" s="38"/>
      <c r="DG55" s="38"/>
      <c r="DH55" s="38"/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  <c r="EI55" s="38"/>
      <c r="EJ55" s="38"/>
      <c r="EK55" s="38"/>
      <c r="EL55" s="38"/>
      <c r="EM55" s="38"/>
    </row>
    <row r="56" spans="2:143" x14ac:dyDescent="0.3"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38"/>
      <c r="AK56" s="38"/>
      <c r="AL56" s="38"/>
      <c r="AM56" s="38"/>
      <c r="AN56" s="38"/>
      <c r="AO56" s="38"/>
      <c r="AP56" s="38"/>
      <c r="AQ56" s="38"/>
      <c r="AR56" s="38"/>
      <c r="AS56" s="38"/>
      <c r="AT56" s="38"/>
      <c r="AU56" s="38"/>
      <c r="AV56" s="38"/>
      <c r="AW56" s="38"/>
      <c r="AX56" s="38"/>
      <c r="AY56" s="38"/>
      <c r="AZ56" s="38"/>
      <c r="BA56" s="38"/>
      <c r="BB56" s="38"/>
      <c r="BC56" s="38"/>
      <c r="BD56" s="38"/>
      <c r="BE56" s="38"/>
      <c r="BF56" s="38"/>
      <c r="BG56" s="38"/>
      <c r="BH56" s="38"/>
      <c r="BI56" s="38"/>
      <c r="BJ56" s="38"/>
      <c r="BK56" s="38"/>
      <c r="BL56" s="38"/>
      <c r="BM56" s="38"/>
      <c r="BN56" s="38"/>
      <c r="BO56" s="38"/>
      <c r="BP56" s="38"/>
      <c r="BQ56" s="38"/>
      <c r="BR56" s="38"/>
      <c r="BS56" s="38"/>
      <c r="BT56" s="38"/>
      <c r="BU56" s="38"/>
      <c r="BV56" s="38"/>
      <c r="BW56" s="38"/>
      <c r="BX56" s="38"/>
      <c r="BY56" s="38"/>
      <c r="BZ56" s="38"/>
      <c r="CA56" s="38"/>
      <c r="CB56" s="38"/>
      <c r="CC56" s="38"/>
      <c r="CD56" s="38"/>
      <c r="CE56" s="38"/>
      <c r="CF56" s="38"/>
      <c r="CG56" s="38"/>
      <c r="CH56" s="38"/>
      <c r="CI56" s="38"/>
      <c r="CJ56" s="38"/>
      <c r="CK56" s="38"/>
      <c r="CL56" s="38"/>
      <c r="CM56" s="38"/>
      <c r="CN56" s="38"/>
      <c r="CO56" s="38"/>
      <c r="CP56" s="38"/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38"/>
      <c r="DC56" s="38"/>
      <c r="DD56" s="38"/>
      <c r="DE56" s="38"/>
      <c r="DF56" s="38"/>
      <c r="DG56" s="38"/>
      <c r="DH56" s="38"/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  <c r="EI56" s="38"/>
      <c r="EJ56" s="38"/>
      <c r="EK56" s="38"/>
      <c r="EL56" s="38"/>
      <c r="EM56" s="38"/>
    </row>
    <row r="57" spans="2:143" x14ac:dyDescent="0.3"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</row>
    <row r="58" spans="2:143" x14ac:dyDescent="0.3"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  <c r="AV58" s="38"/>
      <c r="AW58" s="38"/>
      <c r="AX58" s="38"/>
      <c r="AY58" s="38"/>
      <c r="AZ58" s="38"/>
      <c r="BA58" s="38"/>
      <c r="BB58" s="38"/>
      <c r="BC58" s="38"/>
      <c r="BD58" s="38"/>
      <c r="BE58" s="38"/>
      <c r="BF58" s="38"/>
      <c r="BG58" s="38"/>
      <c r="BH58" s="38"/>
      <c r="BI58" s="38"/>
      <c r="BJ58" s="38"/>
      <c r="BK58" s="38"/>
      <c r="BL58" s="38"/>
      <c r="BM58" s="38"/>
      <c r="BN58" s="38"/>
      <c r="BO58" s="38"/>
      <c r="BP58" s="38"/>
      <c r="BQ58" s="38"/>
      <c r="BR58" s="38"/>
      <c r="BS58" s="38"/>
      <c r="BT58" s="38"/>
      <c r="BU58" s="38"/>
      <c r="BV58" s="38"/>
      <c r="BW58" s="38"/>
      <c r="BX58" s="38"/>
      <c r="BY58" s="38"/>
      <c r="BZ58" s="38"/>
      <c r="CA58" s="38"/>
      <c r="CB58" s="38"/>
      <c r="CC58" s="38"/>
      <c r="CD58" s="38"/>
      <c r="CE58" s="38"/>
      <c r="CF58" s="38"/>
      <c r="CG58" s="38"/>
      <c r="CH58" s="38"/>
      <c r="CI58" s="38"/>
      <c r="CJ58" s="38"/>
      <c r="CK58" s="38"/>
      <c r="CL58" s="38"/>
      <c r="CM58" s="38"/>
      <c r="CN58" s="38"/>
      <c r="CO58" s="38"/>
      <c r="CP58" s="38"/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38"/>
      <c r="DC58" s="38"/>
      <c r="DD58" s="38"/>
      <c r="DE58" s="38"/>
      <c r="DF58" s="38"/>
      <c r="DG58" s="38"/>
      <c r="DH58" s="38"/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  <c r="EI58" s="38"/>
      <c r="EJ58" s="38"/>
      <c r="EK58" s="38"/>
      <c r="EL58" s="38"/>
      <c r="EM58" s="38"/>
    </row>
    <row r="59" spans="2:143" x14ac:dyDescent="0.3">
      <c r="B59" s="38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38"/>
      <c r="X59" s="38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38"/>
      <c r="AK59" s="38"/>
      <c r="AL59" s="38"/>
      <c r="AM59" s="38"/>
      <c r="AN59" s="38"/>
      <c r="AO59" s="38"/>
      <c r="AP59" s="38"/>
      <c r="AQ59" s="38"/>
      <c r="AR59" s="38"/>
      <c r="AS59" s="38"/>
      <c r="AT59" s="38"/>
      <c r="AU59" s="38"/>
      <c r="AV59" s="38"/>
      <c r="AW59" s="38"/>
      <c r="AX59" s="38"/>
      <c r="AY59" s="38"/>
      <c r="AZ59" s="38"/>
      <c r="BA59" s="38"/>
      <c r="BB59" s="38"/>
      <c r="BC59" s="38"/>
      <c r="BD59" s="38"/>
      <c r="BE59" s="38"/>
      <c r="BF59" s="38"/>
      <c r="BG59" s="38"/>
      <c r="BH59" s="38"/>
      <c r="BI59" s="38"/>
      <c r="BJ59" s="38"/>
      <c r="BK59" s="38"/>
      <c r="BL59" s="38"/>
      <c r="BM59" s="38"/>
      <c r="BN59" s="38"/>
      <c r="BO59" s="38"/>
      <c r="BP59" s="38"/>
      <c r="BQ59" s="38"/>
      <c r="BR59" s="38"/>
      <c r="BS59" s="38"/>
      <c r="BT59" s="38"/>
      <c r="BU59" s="38"/>
      <c r="BV59" s="38"/>
      <c r="BW59" s="38"/>
      <c r="BX59" s="38"/>
      <c r="BY59" s="38"/>
      <c r="BZ59" s="38"/>
      <c r="CA59" s="38"/>
      <c r="CB59" s="38"/>
      <c r="CC59" s="38"/>
      <c r="CD59" s="38"/>
      <c r="CE59" s="38"/>
      <c r="CF59" s="38"/>
      <c r="CG59" s="38"/>
      <c r="CH59" s="38"/>
      <c r="CI59" s="38"/>
      <c r="CJ59" s="38"/>
      <c r="CK59" s="38"/>
      <c r="CL59" s="38"/>
      <c r="CM59" s="38"/>
      <c r="CN59" s="38"/>
      <c r="CO59" s="38"/>
      <c r="CP59" s="38"/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38"/>
      <c r="DC59" s="38"/>
      <c r="DD59" s="38"/>
      <c r="DE59" s="38"/>
      <c r="DF59" s="38"/>
      <c r="DG59" s="38"/>
      <c r="DH59" s="38"/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  <c r="EI59" s="38"/>
      <c r="EJ59" s="38"/>
      <c r="EK59" s="38"/>
      <c r="EL59" s="38"/>
      <c r="EM59" s="38"/>
    </row>
    <row r="60" spans="2:143" x14ac:dyDescent="0.3">
      <c r="B60" s="38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8"/>
      <c r="AO60" s="38"/>
      <c r="AP60" s="38"/>
      <c r="AQ60" s="38"/>
      <c r="AR60" s="38"/>
      <c r="AS60" s="38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8"/>
      <c r="BM60" s="38"/>
      <c r="BN60" s="38"/>
      <c r="BO60" s="38"/>
      <c r="BP60" s="38"/>
      <c r="BQ60" s="38"/>
      <c r="BR60" s="38"/>
      <c r="BS60" s="38"/>
      <c r="BT60" s="38"/>
      <c r="BU60" s="38"/>
      <c r="BV60" s="38"/>
      <c r="BW60" s="38"/>
      <c r="BX60" s="38"/>
      <c r="BY60" s="38"/>
      <c r="BZ60" s="38"/>
      <c r="CA60" s="38"/>
      <c r="CB60" s="38"/>
      <c r="CC60" s="38"/>
      <c r="CD60" s="38"/>
      <c r="CE60" s="38"/>
      <c r="CF60" s="38"/>
      <c r="CG60" s="38"/>
      <c r="CH60" s="38"/>
      <c r="CI60" s="38"/>
      <c r="CJ60" s="38"/>
      <c r="CK60" s="38"/>
      <c r="CL60" s="38"/>
      <c r="CM60" s="38"/>
      <c r="CN60" s="38"/>
      <c r="CO60" s="38"/>
      <c r="CP60" s="38"/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38"/>
      <c r="DC60" s="38"/>
      <c r="DD60" s="38"/>
      <c r="DE60" s="38"/>
      <c r="DF60" s="38"/>
      <c r="DG60" s="38"/>
      <c r="DH60" s="38"/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  <c r="EI60" s="38"/>
      <c r="EJ60" s="38"/>
      <c r="EK60" s="38"/>
      <c r="EL60" s="38"/>
      <c r="EM60" s="38"/>
    </row>
    <row r="61" spans="2:143" x14ac:dyDescent="0.3">
      <c r="B61" s="38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38"/>
      <c r="X61" s="38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38"/>
      <c r="AK61" s="38"/>
      <c r="AL61" s="38"/>
      <c r="AM61" s="38"/>
      <c r="AN61" s="38"/>
      <c r="AO61" s="38"/>
      <c r="AP61" s="38"/>
      <c r="AQ61" s="38"/>
      <c r="AR61" s="38"/>
      <c r="AS61" s="38"/>
      <c r="AT61" s="38"/>
      <c r="AU61" s="38"/>
      <c r="AV61" s="38"/>
      <c r="AW61" s="38"/>
      <c r="AX61" s="38"/>
      <c r="AY61" s="38"/>
      <c r="AZ61" s="38"/>
      <c r="BA61" s="38"/>
      <c r="BB61" s="38"/>
      <c r="BC61" s="38"/>
      <c r="BD61" s="38"/>
      <c r="BE61" s="38"/>
      <c r="BF61" s="38"/>
      <c r="BG61" s="38"/>
      <c r="BH61" s="38"/>
      <c r="BI61" s="38"/>
      <c r="BJ61" s="38"/>
      <c r="BK61" s="38"/>
      <c r="BL61" s="38"/>
      <c r="BM61" s="38"/>
      <c r="BN61" s="38"/>
      <c r="BO61" s="38"/>
      <c r="BP61" s="38"/>
      <c r="BQ61" s="38"/>
      <c r="BR61" s="38"/>
      <c r="BS61" s="38"/>
      <c r="BT61" s="38"/>
      <c r="BU61" s="38"/>
      <c r="BV61" s="38"/>
      <c r="BW61" s="38"/>
      <c r="BX61" s="38"/>
      <c r="BY61" s="38"/>
      <c r="BZ61" s="38"/>
      <c r="CA61" s="38"/>
      <c r="CB61" s="38"/>
      <c r="CC61" s="38"/>
      <c r="CD61" s="38"/>
      <c r="CE61" s="38"/>
      <c r="CF61" s="38"/>
      <c r="CG61" s="38"/>
      <c r="CH61" s="38"/>
      <c r="CI61" s="38"/>
      <c r="CJ61" s="38"/>
      <c r="CK61" s="38"/>
      <c r="CL61" s="38"/>
      <c r="CM61" s="38"/>
      <c r="CN61" s="38"/>
      <c r="CO61" s="38"/>
      <c r="CP61" s="38"/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38"/>
      <c r="DC61" s="38"/>
      <c r="DD61" s="38"/>
      <c r="DE61" s="38"/>
      <c r="DF61" s="38"/>
      <c r="DG61" s="38"/>
      <c r="DH61" s="38"/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  <c r="EI61" s="38"/>
      <c r="EJ61" s="38"/>
      <c r="EK61" s="38"/>
      <c r="EL61" s="38"/>
      <c r="EM61" s="38"/>
    </row>
    <row r="62" spans="2:143" x14ac:dyDescent="0.3">
      <c r="B62" s="38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</row>
    <row r="63" spans="2:143" x14ac:dyDescent="0.3">
      <c r="B63" s="38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</row>
    <row r="64" spans="2:143" x14ac:dyDescent="0.3"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  <c r="EI64" s="38"/>
      <c r="EJ64" s="38"/>
      <c r="EK64" s="38"/>
      <c r="EL64" s="38"/>
      <c r="EM64" s="38"/>
    </row>
    <row r="65" spans="2:143" x14ac:dyDescent="0.3">
      <c r="B65" s="38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  <c r="EB65" s="38"/>
      <c r="EC65" s="38"/>
      <c r="ED65" s="38"/>
      <c r="EE65" s="38"/>
      <c r="EF65" s="38"/>
      <c r="EG65" s="38"/>
      <c r="EH65" s="38"/>
      <c r="EI65" s="38"/>
      <c r="EJ65" s="38"/>
      <c r="EK65" s="38"/>
      <c r="EL65" s="38"/>
      <c r="EM65" s="38"/>
    </row>
    <row r="66" spans="2:143" x14ac:dyDescent="0.3">
      <c r="B66" s="38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38"/>
      <c r="X66" s="38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38"/>
      <c r="AK66" s="38"/>
      <c r="AL66" s="38"/>
      <c r="AM66" s="38"/>
      <c r="AN66" s="38"/>
      <c r="AO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38"/>
      <c r="CS66" s="38"/>
      <c r="CT66" s="38"/>
      <c r="CU66" s="38"/>
      <c r="CV66" s="38"/>
      <c r="CW66" s="38"/>
      <c r="CX66" s="38"/>
      <c r="CY66" s="38"/>
      <c r="CZ66" s="38"/>
      <c r="DA66" s="38"/>
      <c r="DB66" s="38"/>
      <c r="DC66" s="38"/>
      <c r="DD66" s="38"/>
      <c r="DE66" s="38"/>
      <c r="DF66" s="38"/>
      <c r="DG66" s="38"/>
      <c r="DH66" s="38"/>
      <c r="DI66" s="38"/>
      <c r="DJ66" s="38"/>
      <c r="DK66" s="38"/>
      <c r="DL66" s="38"/>
      <c r="DM66" s="38"/>
      <c r="DN66" s="38"/>
      <c r="DO66" s="38"/>
      <c r="DP66" s="38"/>
      <c r="DQ66" s="38"/>
      <c r="DR66" s="38"/>
      <c r="DS66" s="38"/>
      <c r="DT66" s="38"/>
      <c r="DU66" s="38"/>
      <c r="DV66" s="38"/>
      <c r="DW66" s="38"/>
      <c r="DX66" s="38"/>
      <c r="DY66" s="38"/>
      <c r="DZ66" s="38"/>
      <c r="EA66" s="38"/>
      <c r="EB66" s="38"/>
      <c r="EC66" s="38"/>
      <c r="ED66" s="38"/>
      <c r="EE66" s="38"/>
      <c r="EF66" s="38"/>
      <c r="EG66" s="38"/>
      <c r="EH66" s="38"/>
      <c r="EI66" s="38"/>
      <c r="EJ66" s="38"/>
      <c r="EK66" s="38"/>
      <c r="EL66" s="38"/>
      <c r="EM66" s="38"/>
    </row>
    <row r="67" spans="2:143" x14ac:dyDescent="0.3">
      <c r="B67" s="38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8"/>
      <c r="V67" s="38"/>
      <c r="W67" s="38"/>
      <c r="X67" s="38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38"/>
      <c r="AK67" s="38"/>
      <c r="AL67" s="38"/>
      <c r="AM67" s="38"/>
      <c r="AN67" s="38"/>
      <c r="AO67" s="38"/>
      <c r="AP67" s="38"/>
      <c r="AQ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8"/>
      <c r="BH67" s="38"/>
      <c r="BI67" s="38"/>
      <c r="BJ67" s="38"/>
      <c r="BK67" s="38"/>
      <c r="BL67" s="38"/>
      <c r="BM67" s="38"/>
      <c r="BN67" s="38"/>
      <c r="BO67" s="38"/>
      <c r="BP67" s="38"/>
      <c r="BQ67" s="38"/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38"/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38"/>
      <c r="DC67" s="38"/>
      <c r="DD67" s="38"/>
      <c r="DE67" s="38"/>
      <c r="DF67" s="38"/>
      <c r="DG67" s="38"/>
      <c r="DH67" s="38"/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  <c r="EI67" s="38"/>
      <c r="EJ67" s="38"/>
      <c r="EK67" s="38"/>
      <c r="EL67" s="38"/>
      <c r="EM67" s="38"/>
    </row>
    <row r="68" spans="2:143" x14ac:dyDescent="0.3">
      <c r="B68" s="38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8"/>
      <c r="V68" s="38"/>
      <c r="W68" s="38"/>
      <c r="X68" s="38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38"/>
      <c r="AK68" s="38"/>
      <c r="AL68" s="38"/>
      <c r="AM68" s="38"/>
      <c r="AN68" s="38"/>
      <c r="AO68" s="38"/>
      <c r="AP68" s="38"/>
      <c r="AQ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8"/>
      <c r="BH68" s="38"/>
      <c r="BI68" s="38"/>
      <c r="BJ68" s="38"/>
      <c r="BK68" s="38"/>
      <c r="BL68" s="38"/>
      <c r="BM68" s="38"/>
      <c r="BN68" s="38"/>
      <c r="BO68" s="38"/>
      <c r="BP68" s="38"/>
      <c r="BQ68" s="38"/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38"/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38"/>
      <c r="DC68" s="38"/>
      <c r="DD68" s="38"/>
      <c r="DE68" s="38"/>
      <c r="DF68" s="38"/>
      <c r="DG68" s="38"/>
      <c r="DH68" s="38"/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  <c r="EI68" s="38"/>
      <c r="EJ68" s="38"/>
      <c r="EK68" s="38"/>
      <c r="EL68" s="38"/>
      <c r="EM68" s="38"/>
    </row>
    <row r="69" spans="2:143" x14ac:dyDescent="0.3">
      <c r="B69" s="38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8"/>
      <c r="V69" s="38"/>
      <c r="W69" s="38"/>
      <c r="X69" s="38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38"/>
      <c r="AK69" s="38"/>
      <c r="AL69" s="38"/>
      <c r="AM69" s="38"/>
      <c r="AN69" s="38"/>
      <c r="AO69" s="38"/>
      <c r="AP69" s="38"/>
      <c r="AQ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8"/>
      <c r="BH69" s="38"/>
      <c r="BI69" s="38"/>
      <c r="BJ69" s="38"/>
      <c r="BK69" s="38"/>
      <c r="BL69" s="38"/>
      <c r="BM69" s="38"/>
      <c r="BN69" s="38"/>
      <c r="BO69" s="38"/>
      <c r="BP69" s="38"/>
      <c r="BQ69" s="38"/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38"/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38"/>
      <c r="DC69" s="38"/>
      <c r="DD69" s="38"/>
      <c r="DE69" s="38"/>
      <c r="DF69" s="38"/>
      <c r="DG69" s="38"/>
      <c r="DH69" s="38"/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  <c r="EI69" s="38"/>
      <c r="EJ69" s="38"/>
      <c r="EK69" s="38"/>
      <c r="EL69" s="38"/>
      <c r="EM69" s="38"/>
    </row>
    <row r="70" spans="2:143" x14ac:dyDescent="0.3">
      <c r="B70" s="38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8"/>
      <c r="V70" s="38"/>
      <c r="W70" s="38"/>
      <c r="X70" s="38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38"/>
      <c r="AK70" s="38"/>
      <c r="AL70" s="38"/>
      <c r="AM70" s="38"/>
      <c r="AN70" s="38"/>
      <c r="AO70" s="38"/>
      <c r="AP70" s="38"/>
      <c r="AQ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8"/>
      <c r="BH70" s="38"/>
      <c r="BI70" s="38"/>
      <c r="BJ70" s="38"/>
      <c r="BK70" s="38"/>
      <c r="BL70" s="38"/>
      <c r="BM70" s="38"/>
      <c r="BN70" s="38"/>
      <c r="BO70" s="38"/>
      <c r="BP70" s="38"/>
      <c r="BQ70" s="38"/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38"/>
      <c r="CQ70" s="38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38"/>
      <c r="DC70" s="38"/>
      <c r="DD70" s="38"/>
      <c r="DE70" s="38"/>
      <c r="DF70" s="38"/>
      <c r="DG70" s="38"/>
      <c r="DH70" s="38"/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  <c r="EI70" s="38"/>
      <c r="EJ70" s="38"/>
      <c r="EK70" s="38"/>
      <c r="EL70" s="38"/>
      <c r="EM70" s="38"/>
    </row>
    <row r="71" spans="2:143" x14ac:dyDescent="0.3"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V71" s="38"/>
      <c r="W71" s="38"/>
      <c r="X71" s="38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38"/>
      <c r="AK71" s="38"/>
      <c r="AL71" s="38"/>
      <c r="AM71" s="38"/>
      <c r="AN71" s="38"/>
      <c r="AO71" s="38"/>
      <c r="AP71" s="38"/>
      <c r="AQ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8"/>
      <c r="BH71" s="38"/>
      <c r="BI71" s="38"/>
      <c r="BJ71" s="38"/>
      <c r="BK71" s="38"/>
      <c r="BL71" s="38"/>
      <c r="BM71" s="38"/>
      <c r="BN71" s="38"/>
      <c r="BO71" s="38"/>
      <c r="BP71" s="38"/>
      <c r="BQ71" s="38"/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38"/>
      <c r="CQ71" s="38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38"/>
      <c r="DC71" s="38"/>
      <c r="DD71" s="38"/>
      <c r="DE71" s="38"/>
      <c r="DF71" s="38"/>
      <c r="DG71" s="38"/>
      <c r="DH71" s="38"/>
      <c r="DI71" s="38"/>
      <c r="DJ71" s="38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  <c r="EI71" s="38"/>
      <c r="EJ71" s="38"/>
      <c r="EK71" s="38"/>
      <c r="EL71" s="38"/>
      <c r="EM71" s="38"/>
    </row>
    <row r="72" spans="2:143" x14ac:dyDescent="0.3"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38"/>
      <c r="AK72" s="38"/>
      <c r="AL72" s="38"/>
      <c r="AM72" s="38"/>
      <c r="AN72" s="38"/>
      <c r="AO72" s="38"/>
      <c r="AP72" s="38"/>
      <c r="AQ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8"/>
      <c r="BH72" s="38"/>
      <c r="BI72" s="38"/>
      <c r="BJ72" s="38"/>
      <c r="BK72" s="38"/>
      <c r="BL72" s="38"/>
      <c r="BM72" s="38"/>
      <c r="BN72" s="38"/>
      <c r="BO72" s="38"/>
      <c r="BP72" s="38"/>
      <c r="BQ72" s="38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/>
      <c r="CL72" s="38"/>
      <c r="CM72" s="38"/>
      <c r="CN72" s="38"/>
      <c r="CO72" s="38"/>
      <c r="CP72" s="38"/>
      <c r="CQ72" s="38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38"/>
      <c r="DC72" s="38"/>
      <c r="DD72" s="38"/>
      <c r="DE72" s="38"/>
      <c r="DF72" s="38"/>
      <c r="DG72" s="38"/>
      <c r="DH72" s="38"/>
      <c r="DI72" s="38"/>
      <c r="DJ72" s="38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  <c r="DW72" s="38"/>
      <c r="DX72" s="38"/>
      <c r="DY72" s="38"/>
      <c r="DZ72" s="38"/>
      <c r="EA72" s="38"/>
      <c r="EB72" s="38"/>
      <c r="EC72" s="38"/>
      <c r="ED72" s="38"/>
      <c r="EE72" s="38"/>
      <c r="EF72" s="38"/>
      <c r="EG72" s="38"/>
      <c r="EH72" s="38"/>
      <c r="EI72" s="38"/>
      <c r="EJ72" s="38"/>
      <c r="EK72" s="38"/>
      <c r="EL72" s="38"/>
      <c r="EM72" s="38"/>
    </row>
    <row r="73" spans="2:143" x14ac:dyDescent="0.3">
      <c r="B73" s="38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8"/>
      <c r="V73" s="38"/>
      <c r="W73" s="38"/>
      <c r="X73" s="38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38"/>
      <c r="AK73" s="38"/>
      <c r="AL73" s="38"/>
      <c r="AM73" s="38"/>
      <c r="AN73" s="38"/>
      <c r="AO73" s="38"/>
      <c r="AP73" s="38"/>
      <c r="AQ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8"/>
      <c r="BH73" s="38"/>
      <c r="BI73" s="38"/>
      <c r="BJ73" s="38"/>
      <c r="BK73" s="38"/>
      <c r="BL73" s="38"/>
      <c r="BM73" s="38"/>
      <c r="BN73" s="38"/>
      <c r="BO73" s="38"/>
      <c r="BP73" s="38"/>
      <c r="BQ73" s="38"/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38"/>
      <c r="CQ73" s="3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38"/>
      <c r="DC73" s="38"/>
      <c r="DD73" s="38"/>
      <c r="DE73" s="38"/>
      <c r="DF73" s="38"/>
      <c r="DG73" s="38"/>
      <c r="DH73" s="38"/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  <c r="EI73" s="38"/>
      <c r="EJ73" s="38"/>
      <c r="EK73" s="38"/>
      <c r="EL73" s="38"/>
      <c r="EM73" s="38"/>
    </row>
    <row r="74" spans="2:143" x14ac:dyDescent="0.3">
      <c r="B74" s="38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8"/>
      <c r="BH74" s="38"/>
      <c r="BI74" s="38"/>
      <c r="BJ74" s="38"/>
      <c r="BK74" s="38"/>
      <c r="BL74" s="38"/>
      <c r="BM74" s="38"/>
      <c r="BN74" s="38"/>
      <c r="BO74" s="38"/>
      <c r="BP74" s="38"/>
      <c r="BQ74" s="38"/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8"/>
      <c r="CM74" s="38"/>
      <c r="CN74" s="38"/>
      <c r="CO74" s="38"/>
      <c r="CP74" s="38"/>
      <c r="CQ74" s="38"/>
      <c r="CR74" s="38"/>
      <c r="CS74" s="38"/>
      <c r="CT74" s="38"/>
      <c r="CU74" s="38"/>
      <c r="CV74" s="38"/>
      <c r="CW74" s="38"/>
      <c r="CX74" s="38"/>
      <c r="CY74" s="38"/>
      <c r="CZ74" s="38"/>
      <c r="DA74" s="38"/>
      <c r="DB74" s="38"/>
      <c r="DC74" s="38"/>
      <c r="DD74" s="38"/>
      <c r="DE74" s="38"/>
      <c r="DF74" s="38"/>
      <c r="DG74" s="38"/>
      <c r="DH74" s="38"/>
      <c r="DI74" s="38"/>
      <c r="DJ74" s="38"/>
      <c r="DK74" s="38"/>
      <c r="DL74" s="38"/>
      <c r="DM74" s="38"/>
      <c r="DN74" s="38"/>
      <c r="DO74" s="38"/>
      <c r="DP74" s="38"/>
      <c r="DQ74" s="38"/>
      <c r="DR74" s="38"/>
      <c r="DS74" s="38"/>
      <c r="DT74" s="38"/>
      <c r="DU74" s="38"/>
      <c r="DV74" s="38"/>
      <c r="DW74" s="38"/>
      <c r="DX74" s="38"/>
      <c r="DY74" s="38"/>
      <c r="DZ74" s="38"/>
      <c r="EA74" s="38"/>
      <c r="EB74" s="38"/>
      <c r="EC74" s="38"/>
      <c r="ED74" s="38"/>
      <c r="EE74" s="38"/>
      <c r="EF74" s="38"/>
      <c r="EG74" s="38"/>
      <c r="EH74" s="38"/>
      <c r="EI74" s="38"/>
      <c r="EJ74" s="38"/>
      <c r="EK74" s="38"/>
      <c r="EL74" s="38"/>
      <c r="EM74" s="38"/>
    </row>
    <row r="75" spans="2:143" x14ac:dyDescent="0.3"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</row>
    <row r="76" spans="2:143" x14ac:dyDescent="0.3"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</row>
    <row r="77" spans="2:143" x14ac:dyDescent="0.3"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</row>
    <row r="78" spans="2:143" x14ac:dyDescent="0.3"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V78" s="38"/>
      <c r="W78" s="38"/>
      <c r="X78" s="38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38"/>
      <c r="AK78" s="38"/>
      <c r="AL78" s="38"/>
      <c r="AM78" s="38"/>
      <c r="AN78" s="38"/>
      <c r="AO78" s="38"/>
      <c r="AP78" s="38"/>
      <c r="AQ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8"/>
      <c r="BH78" s="38"/>
      <c r="BI78" s="38"/>
      <c r="BJ78" s="38"/>
      <c r="BK78" s="38"/>
      <c r="BL78" s="38"/>
      <c r="BM78" s="38"/>
      <c r="BN78" s="38"/>
      <c r="BO78" s="38"/>
      <c r="BP78" s="38"/>
      <c r="BQ78" s="38"/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38"/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38"/>
      <c r="DC78" s="38"/>
      <c r="DD78" s="38"/>
      <c r="DE78" s="38"/>
      <c r="DF78" s="38"/>
      <c r="DG78" s="38"/>
      <c r="DH78" s="38"/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  <c r="EI78" s="38"/>
      <c r="EJ78" s="38"/>
      <c r="EK78" s="38"/>
      <c r="EL78" s="38"/>
      <c r="EM78" s="38"/>
    </row>
    <row r="79" spans="2:143" x14ac:dyDescent="0.3"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  <c r="V79" s="38"/>
      <c r="W79" s="38"/>
      <c r="X79" s="38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38"/>
      <c r="AK79" s="38"/>
      <c r="AL79" s="38"/>
      <c r="AM79" s="38"/>
      <c r="AN79" s="38"/>
      <c r="AO79" s="38"/>
      <c r="AP79" s="38"/>
      <c r="AQ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8"/>
      <c r="BH79" s="38"/>
      <c r="BI79" s="38"/>
      <c r="BJ79" s="38"/>
      <c r="BK79" s="38"/>
      <c r="BL79" s="38"/>
      <c r="BM79" s="38"/>
      <c r="BN79" s="38"/>
      <c r="BO79" s="38"/>
      <c r="BP79" s="38"/>
      <c r="BQ79" s="38"/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38"/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38"/>
      <c r="DC79" s="38"/>
      <c r="DD79" s="38"/>
      <c r="DE79" s="38"/>
      <c r="DF79" s="38"/>
      <c r="DG79" s="38"/>
      <c r="DH79" s="38"/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  <c r="EI79" s="38"/>
      <c r="EJ79" s="38"/>
      <c r="EK79" s="38"/>
      <c r="EL79" s="38"/>
      <c r="EM79" s="38"/>
    </row>
    <row r="80" spans="2:143" x14ac:dyDescent="0.3">
      <c r="B80" s="38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8"/>
      <c r="V80" s="38"/>
      <c r="W80" s="38"/>
      <c r="X80" s="38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38"/>
      <c r="AK80" s="38"/>
      <c r="AL80" s="38"/>
      <c r="AM80" s="38"/>
      <c r="AN80" s="38"/>
      <c r="AO80" s="38"/>
      <c r="AP80" s="38"/>
      <c r="AQ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8"/>
      <c r="BH80" s="38"/>
      <c r="BI80" s="38"/>
      <c r="BJ80" s="38"/>
      <c r="BK80" s="38"/>
      <c r="BL80" s="38"/>
      <c r="BM80" s="38"/>
      <c r="BN80" s="38"/>
      <c r="BO80" s="38"/>
      <c r="BP80" s="38"/>
      <c r="BQ80" s="38"/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38"/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38"/>
      <c r="DC80" s="38"/>
      <c r="DD80" s="38"/>
      <c r="DE80" s="38"/>
      <c r="DF80" s="38"/>
      <c r="DG80" s="38"/>
      <c r="DH80" s="38"/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  <c r="EI80" s="38"/>
      <c r="EJ80" s="38"/>
      <c r="EK80" s="38"/>
      <c r="EL80" s="38"/>
      <c r="EM80" s="38"/>
    </row>
    <row r="81" spans="2:143" x14ac:dyDescent="0.3">
      <c r="B81" s="38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8"/>
      <c r="V81" s="38"/>
      <c r="W81" s="38"/>
      <c r="X81" s="38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38"/>
      <c r="AK81" s="38"/>
      <c r="AL81" s="38"/>
      <c r="AM81" s="38"/>
      <c r="AN81" s="38"/>
      <c r="AO81" s="38"/>
      <c r="AP81" s="38"/>
      <c r="AQ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8"/>
      <c r="BH81" s="38"/>
      <c r="BI81" s="38"/>
      <c r="BJ81" s="38"/>
      <c r="BK81" s="38"/>
      <c r="BL81" s="38"/>
      <c r="BM81" s="38"/>
      <c r="BN81" s="38"/>
      <c r="BO81" s="38"/>
      <c r="BP81" s="38"/>
      <c r="BQ81" s="38"/>
      <c r="BR81" s="38"/>
      <c r="BS81" s="38"/>
      <c r="BT81" s="38"/>
      <c r="BU81" s="38"/>
      <c r="BV81" s="38"/>
      <c r="BW81" s="38"/>
      <c r="BX81" s="38"/>
      <c r="BY81" s="38"/>
      <c r="BZ81" s="38"/>
      <c r="CA81" s="38"/>
      <c r="CB81" s="38"/>
      <c r="CC81" s="38"/>
      <c r="CD81" s="38"/>
      <c r="CE81" s="38"/>
      <c r="CF81" s="38"/>
      <c r="CG81" s="38"/>
      <c r="CH81" s="38"/>
      <c r="CI81" s="38"/>
      <c r="CJ81" s="38"/>
      <c r="CK81" s="38"/>
      <c r="CL81" s="38"/>
      <c r="CM81" s="38"/>
      <c r="CN81" s="38"/>
      <c r="CO81" s="38"/>
      <c r="CP81" s="38"/>
      <c r="CQ81" s="38"/>
      <c r="CR81" s="38"/>
      <c r="CS81" s="38"/>
      <c r="CT81" s="38"/>
      <c r="CU81" s="38"/>
      <c r="CV81" s="38"/>
      <c r="CW81" s="38"/>
      <c r="CX81" s="38"/>
      <c r="CY81" s="38"/>
      <c r="CZ81" s="38"/>
      <c r="DA81" s="38"/>
      <c r="DB81" s="38"/>
      <c r="DC81" s="38"/>
      <c r="DD81" s="38"/>
      <c r="DE81" s="38"/>
      <c r="DF81" s="38"/>
      <c r="DG81" s="38"/>
      <c r="DH81" s="38"/>
      <c r="DI81" s="38"/>
      <c r="DJ81" s="38"/>
      <c r="DK81" s="38"/>
      <c r="DL81" s="38"/>
      <c r="DM81" s="38"/>
      <c r="DN81" s="38"/>
      <c r="DO81" s="38"/>
      <c r="DP81" s="38"/>
      <c r="DQ81" s="38"/>
      <c r="DR81" s="38"/>
      <c r="DS81" s="38"/>
      <c r="DT81" s="38"/>
      <c r="DU81" s="38"/>
      <c r="DV81" s="38"/>
      <c r="DW81" s="38"/>
      <c r="DX81" s="38"/>
      <c r="DY81" s="38"/>
      <c r="DZ81" s="38"/>
      <c r="EA81" s="38"/>
      <c r="EB81" s="38"/>
      <c r="EC81" s="38"/>
      <c r="ED81" s="38"/>
      <c r="EE81" s="38"/>
      <c r="EF81" s="38"/>
      <c r="EG81" s="38"/>
      <c r="EH81" s="38"/>
      <c r="EI81" s="38"/>
      <c r="EJ81" s="38"/>
      <c r="EK81" s="38"/>
      <c r="EL81" s="38"/>
      <c r="EM81" s="38"/>
    </row>
    <row r="82" spans="2:143" x14ac:dyDescent="0.3">
      <c r="B82" s="38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</row>
    <row r="83" spans="2:143" x14ac:dyDescent="0.3">
      <c r="B83" s="38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8"/>
      <c r="V83" s="38"/>
      <c r="W83" s="38"/>
      <c r="X83" s="38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38"/>
      <c r="AK83" s="38"/>
      <c r="AL83" s="38"/>
      <c r="AM83" s="38"/>
      <c r="AN83" s="38"/>
      <c r="AO83" s="38"/>
      <c r="AP83" s="38"/>
      <c r="AQ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8"/>
      <c r="BH83" s="38"/>
      <c r="BI83" s="38"/>
      <c r="BJ83" s="38"/>
      <c r="BK83" s="38"/>
      <c r="BL83" s="38"/>
      <c r="BM83" s="38"/>
      <c r="BN83" s="38"/>
      <c r="BO83" s="38"/>
      <c r="BP83" s="38"/>
      <c r="BQ83" s="38"/>
      <c r="BR83" s="38"/>
      <c r="BS83" s="38"/>
      <c r="BT83" s="38"/>
      <c r="BU83" s="38"/>
      <c r="BV83" s="38"/>
      <c r="BW83" s="38"/>
      <c r="BX83" s="38"/>
      <c r="BY83" s="38"/>
      <c r="BZ83" s="38"/>
      <c r="CA83" s="38"/>
      <c r="CB83" s="38"/>
      <c r="CC83" s="38"/>
      <c r="CD83" s="38"/>
      <c r="CE83" s="38"/>
      <c r="CF83" s="38"/>
      <c r="CG83" s="38"/>
      <c r="CH83" s="38"/>
      <c r="CI83" s="38"/>
      <c r="CJ83" s="38"/>
      <c r="CK83" s="38"/>
      <c r="CL83" s="38"/>
      <c r="CM83" s="38"/>
      <c r="CN83" s="38"/>
      <c r="CO83" s="38"/>
      <c r="CP83" s="38"/>
      <c r="CQ83" s="38"/>
      <c r="CR83" s="38"/>
      <c r="CS83" s="38"/>
      <c r="CT83" s="38"/>
      <c r="CU83" s="38"/>
      <c r="CV83" s="38"/>
      <c r="CW83" s="38"/>
      <c r="CX83" s="38"/>
      <c r="CY83" s="38"/>
      <c r="CZ83" s="38"/>
      <c r="DA83" s="38"/>
      <c r="DB83" s="38"/>
      <c r="DC83" s="38"/>
      <c r="DD83" s="38"/>
      <c r="DE83" s="38"/>
      <c r="DF83" s="38"/>
      <c r="DG83" s="38"/>
      <c r="DH83" s="38"/>
      <c r="DI83" s="38"/>
      <c r="DJ83" s="38"/>
      <c r="DK83" s="38"/>
      <c r="DL83" s="38"/>
      <c r="DM83" s="38"/>
      <c r="DN83" s="38"/>
      <c r="DO83" s="38"/>
      <c r="DP83" s="38"/>
      <c r="DQ83" s="38"/>
      <c r="DR83" s="38"/>
      <c r="DS83" s="38"/>
      <c r="DT83" s="38"/>
      <c r="DU83" s="38"/>
      <c r="DV83" s="38"/>
      <c r="DW83" s="38"/>
      <c r="DX83" s="38"/>
      <c r="DY83" s="38"/>
      <c r="DZ83" s="38"/>
      <c r="EA83" s="38"/>
      <c r="EB83" s="38"/>
      <c r="EC83" s="38"/>
      <c r="ED83" s="38"/>
      <c r="EE83" s="38"/>
      <c r="EF83" s="38"/>
      <c r="EG83" s="38"/>
      <c r="EH83" s="38"/>
      <c r="EI83" s="38"/>
      <c r="EJ83" s="38"/>
      <c r="EK83" s="38"/>
      <c r="EL83" s="38"/>
      <c r="EM83" s="38"/>
    </row>
    <row r="84" spans="2:143" x14ac:dyDescent="0.3">
      <c r="B84" s="38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8"/>
      <c r="V84" s="38"/>
      <c r="W84" s="38"/>
      <c r="X84" s="38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38"/>
      <c r="AK84" s="38"/>
      <c r="AL84" s="38"/>
      <c r="AM84" s="38"/>
      <c r="AN84" s="38"/>
      <c r="AO84" s="38"/>
      <c r="AP84" s="38"/>
      <c r="AQ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8"/>
      <c r="BH84" s="38"/>
      <c r="BI84" s="38"/>
      <c r="BJ84" s="38"/>
      <c r="BK84" s="38"/>
      <c r="BL84" s="38"/>
      <c r="BM84" s="38"/>
      <c r="BN84" s="38"/>
      <c r="BO84" s="38"/>
      <c r="BP84" s="38"/>
      <c r="BQ84" s="38"/>
      <c r="BR84" s="38"/>
      <c r="BS84" s="38"/>
      <c r="BT84" s="38"/>
      <c r="BU84" s="38"/>
      <c r="BV84" s="38"/>
      <c r="BW84" s="38"/>
      <c r="BX84" s="38"/>
      <c r="BY84" s="38"/>
      <c r="BZ84" s="38"/>
      <c r="CA84" s="38"/>
      <c r="CB84" s="38"/>
      <c r="CC84" s="38"/>
      <c r="CD84" s="38"/>
      <c r="CE84" s="38"/>
      <c r="CF84" s="38"/>
      <c r="CG84" s="38"/>
      <c r="CH84" s="38"/>
      <c r="CI84" s="38"/>
      <c r="CJ84" s="38"/>
      <c r="CK84" s="38"/>
      <c r="CL84" s="38"/>
      <c r="CM84" s="38"/>
      <c r="CN84" s="38"/>
      <c r="CO84" s="38"/>
      <c r="CP84" s="38"/>
      <c r="CQ84" s="38"/>
      <c r="CR84" s="38"/>
      <c r="CS84" s="38"/>
      <c r="CT84" s="38"/>
      <c r="CU84" s="38"/>
      <c r="CV84" s="38"/>
      <c r="CW84" s="38"/>
      <c r="CX84" s="38"/>
      <c r="CY84" s="38"/>
      <c r="CZ84" s="38"/>
      <c r="DA84" s="38"/>
      <c r="DB84" s="38"/>
      <c r="DC84" s="38"/>
      <c r="DD84" s="38"/>
      <c r="DE84" s="38"/>
      <c r="DF84" s="38"/>
      <c r="DG84" s="38"/>
      <c r="DH84" s="38"/>
      <c r="DI84" s="38"/>
      <c r="DJ84" s="38"/>
      <c r="DK84" s="38"/>
      <c r="DL84" s="38"/>
      <c r="DM84" s="38"/>
      <c r="DN84" s="38"/>
      <c r="DO84" s="38"/>
      <c r="DP84" s="38"/>
      <c r="DQ84" s="38"/>
      <c r="DR84" s="38"/>
      <c r="DS84" s="38"/>
      <c r="DT84" s="38"/>
      <c r="DU84" s="38"/>
      <c r="DV84" s="38"/>
      <c r="DW84" s="38"/>
      <c r="DX84" s="38"/>
      <c r="DY84" s="38"/>
      <c r="DZ84" s="38"/>
      <c r="EA84" s="38"/>
      <c r="EB84" s="38"/>
      <c r="EC84" s="38"/>
      <c r="ED84" s="38"/>
      <c r="EE84" s="38"/>
      <c r="EF84" s="38"/>
      <c r="EG84" s="38"/>
      <c r="EH84" s="38"/>
      <c r="EI84" s="38"/>
      <c r="EJ84" s="38"/>
      <c r="EK84" s="38"/>
      <c r="EL84" s="38"/>
      <c r="EM84" s="38"/>
    </row>
    <row r="85" spans="2:143" x14ac:dyDescent="0.3">
      <c r="B85" s="38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  <c r="EB85" s="38"/>
      <c r="EC85" s="38"/>
      <c r="ED85" s="38"/>
      <c r="EE85" s="38"/>
      <c r="EF85" s="38"/>
      <c r="EG85" s="38"/>
      <c r="EH85" s="38"/>
      <c r="EI85" s="38"/>
      <c r="EJ85" s="38"/>
      <c r="EK85" s="38"/>
      <c r="EL85" s="38"/>
      <c r="EM85" s="38"/>
    </row>
    <row r="86" spans="2:143" x14ac:dyDescent="0.3">
      <c r="B86" s="38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8"/>
      <c r="V86" s="38"/>
      <c r="W86" s="38"/>
      <c r="X86" s="38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38"/>
      <c r="AK86" s="38"/>
      <c r="AL86" s="38"/>
      <c r="AM86" s="38"/>
      <c r="AN86" s="38"/>
      <c r="AO86" s="38"/>
      <c r="AP86" s="38"/>
      <c r="AQ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8"/>
      <c r="BH86" s="38"/>
      <c r="BI86" s="38"/>
      <c r="BJ86" s="38"/>
      <c r="BK86" s="38"/>
      <c r="BL86" s="38"/>
      <c r="BM86" s="38"/>
      <c r="BN86" s="38"/>
      <c r="BO86" s="38"/>
      <c r="BP86" s="38"/>
      <c r="BQ86" s="38"/>
      <c r="BR86" s="38"/>
      <c r="BS86" s="38"/>
      <c r="BT86" s="38"/>
      <c r="BU86" s="38"/>
      <c r="BV86" s="38"/>
      <c r="BW86" s="38"/>
      <c r="BX86" s="38"/>
      <c r="BY86" s="38"/>
      <c r="BZ86" s="38"/>
      <c r="CA86" s="38"/>
      <c r="CB86" s="38"/>
      <c r="CC86" s="38"/>
      <c r="CD86" s="38"/>
      <c r="CE86" s="38"/>
      <c r="CF86" s="38"/>
      <c r="CG86" s="38"/>
      <c r="CH86" s="38"/>
      <c r="CI86" s="38"/>
      <c r="CJ86" s="38"/>
      <c r="CK86" s="38"/>
      <c r="CL86" s="38"/>
      <c r="CM86" s="38"/>
      <c r="CN86" s="38"/>
      <c r="CO86" s="38"/>
      <c r="CP86" s="38"/>
      <c r="CQ86" s="38"/>
      <c r="CR86" s="38"/>
      <c r="CS86" s="38"/>
      <c r="CT86" s="38"/>
      <c r="CU86" s="38"/>
      <c r="CV86" s="38"/>
      <c r="CW86" s="38"/>
      <c r="CX86" s="38"/>
      <c r="CY86" s="38"/>
      <c r="CZ86" s="38"/>
      <c r="DA86" s="38"/>
      <c r="DB86" s="38"/>
      <c r="DC86" s="38"/>
      <c r="DD86" s="38"/>
      <c r="DE86" s="38"/>
      <c r="DF86" s="38"/>
      <c r="DG86" s="38"/>
      <c r="DH86" s="38"/>
      <c r="DI86" s="38"/>
      <c r="DJ86" s="38"/>
      <c r="DK86" s="38"/>
      <c r="DL86" s="38"/>
      <c r="DM86" s="38"/>
      <c r="DN86" s="38"/>
      <c r="DO86" s="38"/>
      <c r="DP86" s="38"/>
      <c r="DQ86" s="38"/>
      <c r="DR86" s="38"/>
      <c r="DS86" s="38"/>
      <c r="DT86" s="38"/>
      <c r="DU86" s="38"/>
      <c r="DV86" s="38"/>
      <c r="DW86" s="38"/>
      <c r="DX86" s="38"/>
      <c r="DY86" s="38"/>
      <c r="DZ86" s="38"/>
      <c r="EA86" s="38"/>
      <c r="EB86" s="38"/>
      <c r="EC86" s="38"/>
      <c r="ED86" s="38"/>
      <c r="EE86" s="38"/>
      <c r="EF86" s="38"/>
      <c r="EG86" s="38"/>
      <c r="EH86" s="38"/>
      <c r="EI86" s="38"/>
      <c r="EJ86" s="38"/>
      <c r="EK86" s="38"/>
      <c r="EL86" s="38"/>
      <c r="EM86" s="38"/>
    </row>
    <row r="87" spans="2:143" x14ac:dyDescent="0.3">
      <c r="B87" s="38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38"/>
      <c r="X87" s="38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38"/>
      <c r="AK87" s="38"/>
      <c r="AL87" s="38"/>
      <c r="AM87" s="38"/>
      <c r="AN87" s="38"/>
      <c r="AO87" s="38"/>
      <c r="AP87" s="38"/>
      <c r="AQ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8"/>
      <c r="BH87" s="38"/>
      <c r="BI87" s="38"/>
      <c r="BJ87" s="38"/>
      <c r="BK87" s="38"/>
      <c r="BL87" s="38"/>
      <c r="BM87" s="38"/>
      <c r="BN87" s="38"/>
      <c r="BO87" s="38"/>
      <c r="BP87" s="38"/>
      <c r="BQ87" s="38"/>
      <c r="BR87" s="38"/>
      <c r="BS87" s="38"/>
      <c r="BT87" s="38"/>
      <c r="BU87" s="38"/>
      <c r="BV87" s="38"/>
      <c r="BW87" s="38"/>
      <c r="BX87" s="38"/>
      <c r="BY87" s="38"/>
      <c r="BZ87" s="38"/>
      <c r="CA87" s="38"/>
      <c r="CB87" s="38"/>
      <c r="CC87" s="38"/>
      <c r="CD87" s="38"/>
      <c r="CE87" s="38"/>
      <c r="CF87" s="38"/>
      <c r="CG87" s="38"/>
      <c r="CH87" s="38"/>
      <c r="CI87" s="38"/>
      <c r="CJ87" s="38"/>
      <c r="CK87" s="38"/>
      <c r="CL87" s="38"/>
      <c r="CM87" s="38"/>
      <c r="CN87" s="38"/>
      <c r="CO87" s="38"/>
      <c r="CP87" s="38"/>
      <c r="CQ87" s="38"/>
      <c r="CR87" s="38"/>
      <c r="CS87" s="38"/>
      <c r="CT87" s="38"/>
      <c r="CU87" s="38"/>
      <c r="CV87" s="38"/>
      <c r="CW87" s="38"/>
      <c r="CX87" s="38"/>
      <c r="CY87" s="38"/>
      <c r="CZ87" s="38"/>
      <c r="DA87" s="38"/>
      <c r="DB87" s="38"/>
      <c r="DC87" s="38"/>
      <c r="DD87" s="38"/>
      <c r="DE87" s="38"/>
      <c r="DF87" s="38"/>
      <c r="DG87" s="38"/>
      <c r="DH87" s="38"/>
      <c r="DI87" s="38"/>
      <c r="DJ87" s="38"/>
      <c r="DK87" s="38"/>
      <c r="DL87" s="38"/>
      <c r="DM87" s="38"/>
      <c r="DN87" s="38"/>
      <c r="DO87" s="38"/>
      <c r="DP87" s="38"/>
      <c r="DQ87" s="38"/>
      <c r="DR87" s="38"/>
      <c r="DS87" s="38"/>
      <c r="DT87" s="38"/>
      <c r="DU87" s="38"/>
      <c r="DV87" s="38"/>
      <c r="DW87" s="38"/>
      <c r="DX87" s="38"/>
      <c r="DY87" s="38"/>
      <c r="DZ87" s="38"/>
      <c r="EA87" s="38"/>
      <c r="EB87" s="38"/>
      <c r="EC87" s="38"/>
      <c r="ED87" s="38"/>
      <c r="EE87" s="38"/>
      <c r="EF87" s="38"/>
      <c r="EG87" s="38"/>
      <c r="EH87" s="38"/>
      <c r="EI87" s="38"/>
      <c r="EJ87" s="38"/>
      <c r="EK87" s="38"/>
      <c r="EL87" s="38"/>
      <c r="EM87" s="38"/>
    </row>
    <row r="88" spans="2:143" x14ac:dyDescent="0.3">
      <c r="B88" s="38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38"/>
      <c r="X88" s="38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38"/>
      <c r="AK88" s="38"/>
      <c r="AL88" s="38"/>
      <c r="AM88" s="38"/>
      <c r="AN88" s="38"/>
      <c r="AO88" s="38"/>
      <c r="AP88" s="38"/>
      <c r="AQ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8"/>
      <c r="BH88" s="38"/>
      <c r="BI88" s="38"/>
      <c r="BJ88" s="38"/>
      <c r="BK88" s="38"/>
      <c r="BL88" s="38"/>
      <c r="BM88" s="38"/>
      <c r="BN88" s="38"/>
      <c r="BO88" s="38"/>
      <c r="BP88" s="38"/>
      <c r="BQ88" s="38"/>
      <c r="BR88" s="38"/>
      <c r="BS88" s="38"/>
      <c r="BT88" s="38"/>
      <c r="BU88" s="38"/>
      <c r="BV88" s="38"/>
      <c r="BW88" s="38"/>
      <c r="BX88" s="38"/>
      <c r="BY88" s="38"/>
      <c r="BZ88" s="38"/>
      <c r="CA88" s="38"/>
      <c r="CB88" s="38"/>
      <c r="CC88" s="38"/>
      <c r="CD88" s="38"/>
      <c r="CE88" s="38"/>
      <c r="CF88" s="38"/>
      <c r="CG88" s="38"/>
      <c r="CH88" s="38"/>
      <c r="CI88" s="38"/>
      <c r="CJ88" s="38"/>
      <c r="CK88" s="38"/>
      <c r="CL88" s="38"/>
      <c r="CM88" s="38"/>
      <c r="CN88" s="38"/>
      <c r="CO88" s="38"/>
      <c r="CP88" s="38"/>
      <c r="CQ88" s="38"/>
      <c r="CR88" s="38"/>
      <c r="CS88" s="38"/>
      <c r="CT88" s="38"/>
      <c r="CU88" s="38"/>
      <c r="CV88" s="38"/>
      <c r="CW88" s="38"/>
      <c r="CX88" s="38"/>
      <c r="CY88" s="38"/>
      <c r="CZ88" s="38"/>
      <c r="DA88" s="38"/>
      <c r="DB88" s="38"/>
      <c r="DC88" s="38"/>
      <c r="DD88" s="38"/>
      <c r="DE88" s="38"/>
      <c r="DF88" s="38"/>
      <c r="DG88" s="38"/>
      <c r="DH88" s="38"/>
      <c r="DI88" s="38"/>
      <c r="DJ88" s="38"/>
      <c r="DK88" s="38"/>
      <c r="DL88" s="38"/>
      <c r="DM88" s="38"/>
      <c r="DN88" s="38"/>
      <c r="DO88" s="38"/>
      <c r="DP88" s="38"/>
      <c r="DQ88" s="38"/>
      <c r="DR88" s="38"/>
      <c r="DS88" s="38"/>
      <c r="DT88" s="38"/>
      <c r="DU88" s="38"/>
      <c r="DV88" s="38"/>
      <c r="DW88" s="38"/>
      <c r="DX88" s="38"/>
      <c r="DY88" s="38"/>
      <c r="DZ88" s="38"/>
      <c r="EA88" s="38"/>
      <c r="EB88" s="38"/>
      <c r="EC88" s="38"/>
      <c r="ED88" s="38"/>
      <c r="EE88" s="38"/>
      <c r="EF88" s="38"/>
      <c r="EG88" s="38"/>
      <c r="EH88" s="38"/>
      <c r="EI88" s="38"/>
      <c r="EJ88" s="38"/>
      <c r="EK88" s="38"/>
      <c r="EL88" s="38"/>
      <c r="EM88" s="38"/>
    </row>
    <row r="89" spans="2:143" x14ac:dyDescent="0.3">
      <c r="B89" s="38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8"/>
      <c r="BH89" s="38"/>
      <c r="BI89" s="38"/>
      <c r="BJ89" s="38"/>
      <c r="BK89" s="38"/>
      <c r="BL89" s="38"/>
      <c r="BM89" s="38"/>
      <c r="BN89" s="38"/>
      <c r="BO89" s="38"/>
      <c r="BP89" s="38"/>
      <c r="BQ89" s="38"/>
      <c r="BR89" s="38"/>
      <c r="BS89" s="38"/>
      <c r="BT89" s="38"/>
      <c r="BU89" s="38"/>
      <c r="BV89" s="38"/>
      <c r="BW89" s="38"/>
      <c r="BX89" s="38"/>
      <c r="BY89" s="38"/>
      <c r="BZ89" s="38"/>
      <c r="CA89" s="38"/>
      <c r="CB89" s="38"/>
      <c r="CC89" s="38"/>
      <c r="CD89" s="38"/>
      <c r="CE89" s="38"/>
      <c r="CF89" s="38"/>
      <c r="CG89" s="38"/>
      <c r="CH89" s="38"/>
      <c r="CI89" s="38"/>
      <c r="CJ89" s="38"/>
      <c r="CK89" s="38"/>
      <c r="CL89" s="38"/>
      <c r="CM89" s="38"/>
      <c r="CN89" s="38"/>
      <c r="CO89" s="38"/>
      <c r="CP89" s="38"/>
      <c r="CQ89" s="38"/>
      <c r="CR89" s="38"/>
      <c r="CS89" s="38"/>
      <c r="CT89" s="38"/>
      <c r="CU89" s="38"/>
      <c r="CV89" s="38"/>
      <c r="CW89" s="38"/>
      <c r="CX89" s="38"/>
      <c r="CY89" s="38"/>
      <c r="CZ89" s="38"/>
      <c r="DA89" s="38"/>
      <c r="DB89" s="38"/>
      <c r="DC89" s="38"/>
      <c r="DD89" s="38"/>
      <c r="DE89" s="38"/>
      <c r="DF89" s="38"/>
      <c r="DG89" s="38"/>
      <c r="DH89" s="38"/>
      <c r="DI89" s="38"/>
      <c r="DJ89" s="38"/>
      <c r="DK89" s="38"/>
      <c r="DL89" s="38"/>
      <c r="DM89" s="38"/>
      <c r="DN89" s="38"/>
      <c r="DO89" s="38"/>
      <c r="DP89" s="38"/>
      <c r="DQ89" s="38"/>
      <c r="DR89" s="38"/>
      <c r="DS89" s="38"/>
      <c r="DT89" s="38"/>
      <c r="DU89" s="38"/>
      <c r="DV89" s="38"/>
      <c r="DW89" s="38"/>
      <c r="DX89" s="38"/>
      <c r="DY89" s="38"/>
      <c r="DZ89" s="38"/>
      <c r="EA89" s="38"/>
      <c r="EB89" s="38"/>
      <c r="EC89" s="38"/>
      <c r="ED89" s="38"/>
      <c r="EE89" s="38"/>
      <c r="EF89" s="38"/>
      <c r="EG89" s="38"/>
      <c r="EH89" s="38"/>
      <c r="EI89" s="38"/>
      <c r="EJ89" s="38"/>
      <c r="EK89" s="38"/>
      <c r="EL89" s="38"/>
      <c r="EM89" s="38"/>
    </row>
    <row r="90" spans="2:143" x14ac:dyDescent="0.3">
      <c r="B90" s="38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38"/>
      <c r="X90" s="38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38"/>
      <c r="AK90" s="38"/>
      <c r="AL90" s="38"/>
      <c r="AM90" s="38"/>
      <c r="AN90" s="38"/>
      <c r="AO90" s="38"/>
      <c r="AP90" s="38"/>
      <c r="AQ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8"/>
      <c r="BH90" s="38"/>
      <c r="BI90" s="38"/>
      <c r="BJ90" s="38"/>
      <c r="BK90" s="38"/>
      <c r="BL90" s="38"/>
      <c r="BM90" s="38"/>
      <c r="BN90" s="38"/>
      <c r="BO90" s="38"/>
      <c r="BP90" s="38"/>
      <c r="BQ90" s="38"/>
      <c r="BR90" s="38"/>
      <c r="BS90" s="38"/>
      <c r="BT90" s="38"/>
      <c r="BU90" s="38"/>
      <c r="BV90" s="38"/>
      <c r="BW90" s="38"/>
      <c r="BX90" s="38"/>
      <c r="BY90" s="38"/>
      <c r="BZ90" s="38"/>
      <c r="CA90" s="38"/>
      <c r="CB90" s="38"/>
      <c r="CC90" s="38"/>
      <c r="CD90" s="38"/>
      <c r="CE90" s="38"/>
      <c r="CF90" s="38"/>
      <c r="CG90" s="38"/>
      <c r="CH90" s="38"/>
      <c r="CI90" s="38"/>
      <c r="CJ90" s="38"/>
      <c r="CK90" s="38"/>
      <c r="CL90" s="38"/>
      <c r="CM90" s="38"/>
      <c r="CN90" s="38"/>
      <c r="CO90" s="38"/>
      <c r="CP90" s="38"/>
      <c r="CQ90" s="38"/>
      <c r="CR90" s="38"/>
      <c r="CS90" s="38"/>
      <c r="CT90" s="38"/>
      <c r="CU90" s="38"/>
      <c r="CV90" s="38"/>
      <c r="CW90" s="38"/>
      <c r="CX90" s="38"/>
      <c r="CY90" s="38"/>
      <c r="CZ90" s="38"/>
      <c r="DA90" s="38"/>
      <c r="DB90" s="38"/>
      <c r="DC90" s="38"/>
      <c r="DD90" s="38"/>
      <c r="DE90" s="38"/>
      <c r="DF90" s="38"/>
      <c r="DG90" s="38"/>
      <c r="DH90" s="38"/>
      <c r="DI90" s="38"/>
      <c r="DJ90" s="38"/>
      <c r="DK90" s="38"/>
      <c r="DL90" s="38"/>
      <c r="DM90" s="38"/>
      <c r="DN90" s="38"/>
      <c r="DO90" s="38"/>
      <c r="DP90" s="38"/>
      <c r="DQ90" s="38"/>
      <c r="DR90" s="38"/>
      <c r="DS90" s="38"/>
      <c r="DT90" s="38"/>
      <c r="DU90" s="38"/>
      <c r="DV90" s="38"/>
      <c r="DW90" s="38"/>
      <c r="DX90" s="38"/>
      <c r="DY90" s="38"/>
      <c r="DZ90" s="38"/>
      <c r="EA90" s="38"/>
      <c r="EB90" s="38"/>
      <c r="EC90" s="38"/>
      <c r="ED90" s="38"/>
      <c r="EE90" s="38"/>
      <c r="EF90" s="38"/>
      <c r="EG90" s="38"/>
      <c r="EH90" s="38"/>
      <c r="EI90" s="38"/>
      <c r="EJ90" s="38"/>
      <c r="EK90" s="38"/>
      <c r="EL90" s="38"/>
      <c r="EM90" s="38"/>
    </row>
    <row r="91" spans="2:143" x14ac:dyDescent="0.3">
      <c r="B91" s="38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38"/>
      <c r="X91" s="38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38"/>
      <c r="AK91" s="38"/>
      <c r="AL91" s="38"/>
      <c r="AM91" s="38"/>
      <c r="AN91" s="38"/>
      <c r="AO91" s="38"/>
      <c r="AP91" s="38"/>
      <c r="AQ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8"/>
      <c r="BH91" s="38"/>
      <c r="BI91" s="38"/>
      <c r="BJ91" s="38"/>
      <c r="BK91" s="38"/>
      <c r="BL91" s="38"/>
      <c r="BM91" s="38"/>
      <c r="BN91" s="38"/>
      <c r="BO91" s="38"/>
      <c r="BP91" s="38"/>
      <c r="BQ91" s="38"/>
      <c r="BR91" s="38"/>
      <c r="BS91" s="38"/>
      <c r="BT91" s="38"/>
      <c r="BU91" s="38"/>
      <c r="BV91" s="38"/>
      <c r="BW91" s="38"/>
      <c r="BX91" s="38"/>
      <c r="BY91" s="38"/>
      <c r="BZ91" s="38"/>
      <c r="CA91" s="38"/>
      <c r="CB91" s="38"/>
      <c r="CC91" s="38"/>
      <c r="CD91" s="38"/>
      <c r="CE91" s="38"/>
      <c r="CF91" s="38"/>
      <c r="CG91" s="38"/>
      <c r="CH91" s="38"/>
      <c r="CI91" s="38"/>
      <c r="CJ91" s="38"/>
      <c r="CK91" s="38"/>
      <c r="CL91" s="38"/>
      <c r="CM91" s="38"/>
      <c r="CN91" s="38"/>
      <c r="CO91" s="38"/>
      <c r="CP91" s="38"/>
      <c r="CQ91" s="38"/>
      <c r="CR91" s="38"/>
      <c r="CS91" s="38"/>
      <c r="CT91" s="38"/>
      <c r="CU91" s="38"/>
      <c r="CV91" s="38"/>
      <c r="CW91" s="38"/>
      <c r="CX91" s="38"/>
      <c r="CY91" s="38"/>
      <c r="CZ91" s="38"/>
      <c r="DA91" s="38"/>
      <c r="DB91" s="38"/>
      <c r="DC91" s="38"/>
      <c r="DD91" s="38"/>
      <c r="DE91" s="38"/>
      <c r="DF91" s="38"/>
      <c r="DG91" s="38"/>
      <c r="DH91" s="38"/>
      <c r="DI91" s="38"/>
      <c r="DJ91" s="38"/>
      <c r="DK91" s="38"/>
      <c r="DL91" s="38"/>
      <c r="DM91" s="38"/>
      <c r="DN91" s="38"/>
      <c r="DO91" s="38"/>
      <c r="DP91" s="38"/>
      <c r="DQ91" s="38"/>
      <c r="DR91" s="38"/>
      <c r="DS91" s="38"/>
      <c r="DT91" s="38"/>
      <c r="DU91" s="38"/>
      <c r="DV91" s="38"/>
      <c r="DW91" s="38"/>
      <c r="DX91" s="38"/>
      <c r="DY91" s="38"/>
      <c r="DZ91" s="38"/>
      <c r="EA91" s="38"/>
      <c r="EB91" s="38"/>
      <c r="EC91" s="38"/>
      <c r="ED91" s="38"/>
      <c r="EE91" s="38"/>
      <c r="EF91" s="38"/>
      <c r="EG91" s="38"/>
      <c r="EH91" s="38"/>
      <c r="EI91" s="38"/>
      <c r="EJ91" s="38"/>
      <c r="EK91" s="38"/>
      <c r="EL91" s="38"/>
      <c r="EM91" s="38"/>
    </row>
    <row r="92" spans="2:143" x14ac:dyDescent="0.3"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38"/>
      <c r="X92" s="38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38"/>
      <c r="AK92" s="38"/>
      <c r="AL92" s="38"/>
      <c r="AM92" s="38"/>
      <c r="AN92" s="38"/>
      <c r="AO92" s="38"/>
      <c r="AP92" s="38"/>
      <c r="AQ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8"/>
      <c r="BH92" s="38"/>
      <c r="BI92" s="38"/>
      <c r="BJ92" s="38"/>
      <c r="BK92" s="38"/>
      <c r="BL92" s="38"/>
      <c r="BM92" s="38"/>
      <c r="BN92" s="38"/>
      <c r="BO92" s="38"/>
      <c r="BP92" s="38"/>
      <c r="BQ92" s="38"/>
      <c r="BR92" s="38"/>
      <c r="BS92" s="38"/>
      <c r="BT92" s="38"/>
      <c r="BU92" s="38"/>
      <c r="BV92" s="38"/>
      <c r="BW92" s="38"/>
      <c r="BX92" s="38"/>
      <c r="BY92" s="38"/>
      <c r="BZ92" s="38"/>
      <c r="CA92" s="38"/>
      <c r="CB92" s="38"/>
      <c r="CC92" s="38"/>
      <c r="CD92" s="38"/>
      <c r="CE92" s="38"/>
      <c r="CF92" s="38"/>
      <c r="CG92" s="38"/>
      <c r="CH92" s="38"/>
      <c r="CI92" s="38"/>
      <c r="CJ92" s="38"/>
      <c r="CK92" s="38"/>
      <c r="CL92" s="38"/>
      <c r="CM92" s="38"/>
      <c r="CN92" s="38"/>
      <c r="CO92" s="38"/>
      <c r="CP92" s="38"/>
      <c r="CQ92" s="38"/>
      <c r="CR92" s="38"/>
      <c r="CS92" s="38"/>
      <c r="CT92" s="38"/>
      <c r="CU92" s="38"/>
      <c r="CV92" s="38"/>
      <c r="CW92" s="38"/>
      <c r="CX92" s="38"/>
      <c r="CY92" s="38"/>
      <c r="CZ92" s="38"/>
      <c r="DA92" s="38"/>
      <c r="DB92" s="38"/>
      <c r="DC92" s="38"/>
      <c r="DD92" s="38"/>
      <c r="DE92" s="38"/>
      <c r="DF92" s="38"/>
      <c r="DG92" s="38"/>
      <c r="DH92" s="38"/>
      <c r="DI92" s="38"/>
      <c r="DJ92" s="38"/>
      <c r="DK92" s="38"/>
      <c r="DL92" s="38"/>
      <c r="DM92" s="38"/>
      <c r="DN92" s="38"/>
      <c r="DO92" s="38"/>
      <c r="DP92" s="38"/>
      <c r="DQ92" s="38"/>
      <c r="DR92" s="38"/>
      <c r="DS92" s="38"/>
      <c r="DT92" s="38"/>
      <c r="DU92" s="38"/>
      <c r="DV92" s="38"/>
      <c r="DW92" s="38"/>
      <c r="DX92" s="38"/>
      <c r="DY92" s="38"/>
      <c r="DZ92" s="38"/>
      <c r="EA92" s="38"/>
      <c r="EB92" s="38"/>
      <c r="EC92" s="38"/>
      <c r="ED92" s="38"/>
      <c r="EE92" s="38"/>
      <c r="EF92" s="38"/>
      <c r="EG92" s="38"/>
      <c r="EH92" s="38"/>
      <c r="EI92" s="38"/>
      <c r="EJ92" s="38"/>
      <c r="EK92" s="38"/>
      <c r="EL92" s="38"/>
      <c r="EM92" s="38"/>
    </row>
    <row r="93" spans="2:143" x14ac:dyDescent="0.3">
      <c r="B93" s="38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38"/>
      <c r="X93" s="38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38"/>
      <c r="AK93" s="38"/>
      <c r="AL93" s="38"/>
      <c r="AM93" s="38"/>
      <c r="AN93" s="38"/>
      <c r="AO93" s="38"/>
      <c r="AP93" s="38"/>
      <c r="AQ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8"/>
      <c r="BH93" s="38"/>
      <c r="BI93" s="38"/>
      <c r="BJ93" s="38"/>
      <c r="BK93" s="38"/>
      <c r="BL93" s="38"/>
      <c r="BM93" s="38"/>
      <c r="BN93" s="38"/>
      <c r="BO93" s="38"/>
      <c r="BP93" s="38"/>
      <c r="BQ93" s="38"/>
      <c r="BR93" s="38"/>
      <c r="BS93" s="38"/>
      <c r="BT93" s="38"/>
      <c r="BU93" s="38"/>
      <c r="BV93" s="38"/>
      <c r="BW93" s="38"/>
      <c r="BX93" s="38"/>
      <c r="BY93" s="38"/>
      <c r="BZ93" s="38"/>
      <c r="CA93" s="38"/>
      <c r="CB93" s="38"/>
      <c r="CC93" s="38"/>
      <c r="CD93" s="38"/>
      <c r="CE93" s="38"/>
      <c r="CF93" s="38"/>
      <c r="CG93" s="38"/>
      <c r="CH93" s="38"/>
      <c r="CI93" s="38"/>
      <c r="CJ93" s="38"/>
      <c r="CK93" s="38"/>
      <c r="CL93" s="38"/>
      <c r="CM93" s="38"/>
      <c r="CN93" s="38"/>
      <c r="CO93" s="38"/>
      <c r="CP93" s="38"/>
      <c r="CQ93" s="38"/>
      <c r="CR93" s="38"/>
      <c r="CS93" s="38"/>
      <c r="CT93" s="38"/>
      <c r="CU93" s="38"/>
      <c r="CV93" s="38"/>
      <c r="CW93" s="38"/>
      <c r="CX93" s="38"/>
      <c r="CY93" s="38"/>
      <c r="CZ93" s="38"/>
      <c r="DA93" s="38"/>
      <c r="DB93" s="38"/>
      <c r="DC93" s="38"/>
      <c r="DD93" s="38"/>
      <c r="DE93" s="38"/>
      <c r="DF93" s="38"/>
      <c r="DG93" s="38"/>
      <c r="DH93" s="38"/>
      <c r="DI93" s="38"/>
      <c r="DJ93" s="38"/>
      <c r="DK93" s="38"/>
      <c r="DL93" s="38"/>
      <c r="DM93" s="38"/>
      <c r="DN93" s="38"/>
      <c r="DO93" s="38"/>
      <c r="DP93" s="38"/>
      <c r="DQ93" s="38"/>
      <c r="DR93" s="38"/>
      <c r="DS93" s="38"/>
      <c r="DT93" s="38"/>
      <c r="DU93" s="38"/>
      <c r="DV93" s="38"/>
      <c r="DW93" s="38"/>
      <c r="DX93" s="38"/>
      <c r="DY93" s="38"/>
      <c r="DZ93" s="38"/>
      <c r="EA93" s="38"/>
      <c r="EB93" s="38"/>
      <c r="EC93" s="38"/>
      <c r="ED93" s="38"/>
      <c r="EE93" s="38"/>
      <c r="EF93" s="38"/>
      <c r="EG93" s="38"/>
      <c r="EH93" s="38"/>
      <c r="EI93" s="38"/>
      <c r="EJ93" s="38"/>
      <c r="EK93" s="38"/>
      <c r="EL93" s="38"/>
      <c r="EM93" s="38"/>
    </row>
    <row r="94" spans="2:143" x14ac:dyDescent="0.3">
      <c r="B94" s="38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8"/>
      <c r="BH94" s="38"/>
      <c r="BI94" s="38"/>
      <c r="BJ94" s="38"/>
      <c r="BK94" s="38"/>
      <c r="BL94" s="38"/>
      <c r="BM94" s="38"/>
      <c r="BN94" s="38"/>
      <c r="BO94" s="38"/>
      <c r="BP94" s="38"/>
      <c r="BQ94" s="38"/>
      <c r="BR94" s="38"/>
      <c r="BS94" s="38"/>
      <c r="BT94" s="38"/>
      <c r="BU94" s="38"/>
      <c r="BV94" s="38"/>
      <c r="BW94" s="38"/>
      <c r="BX94" s="38"/>
      <c r="BY94" s="38"/>
      <c r="BZ94" s="38"/>
      <c r="CA94" s="38"/>
      <c r="CB94" s="38"/>
      <c r="CC94" s="38"/>
      <c r="CD94" s="38"/>
      <c r="CE94" s="38"/>
      <c r="CF94" s="38"/>
      <c r="CG94" s="38"/>
      <c r="CH94" s="38"/>
      <c r="CI94" s="38"/>
      <c r="CJ94" s="38"/>
      <c r="CK94" s="38"/>
      <c r="CL94" s="38"/>
      <c r="CM94" s="38"/>
      <c r="CN94" s="38"/>
      <c r="CO94" s="38"/>
      <c r="CP94" s="38"/>
      <c r="CQ94" s="38"/>
      <c r="CR94" s="38"/>
      <c r="CS94" s="38"/>
      <c r="CT94" s="38"/>
      <c r="CU94" s="38"/>
      <c r="CV94" s="38"/>
      <c r="CW94" s="38"/>
      <c r="CX94" s="38"/>
      <c r="CY94" s="38"/>
      <c r="CZ94" s="38"/>
      <c r="DA94" s="38"/>
      <c r="DB94" s="38"/>
      <c r="DC94" s="38"/>
      <c r="DD94" s="38"/>
      <c r="DE94" s="38"/>
      <c r="DF94" s="38"/>
      <c r="DG94" s="38"/>
      <c r="DH94" s="38"/>
      <c r="DI94" s="38"/>
      <c r="DJ94" s="38"/>
      <c r="DK94" s="38"/>
      <c r="DL94" s="38"/>
      <c r="DM94" s="38"/>
      <c r="DN94" s="38"/>
      <c r="DO94" s="38"/>
      <c r="DP94" s="38"/>
      <c r="DQ94" s="38"/>
      <c r="DR94" s="38"/>
      <c r="DS94" s="38"/>
      <c r="DT94" s="38"/>
      <c r="DU94" s="38"/>
      <c r="DV94" s="38"/>
      <c r="DW94" s="38"/>
      <c r="DX94" s="38"/>
      <c r="DY94" s="38"/>
      <c r="DZ94" s="38"/>
      <c r="EA94" s="38"/>
      <c r="EB94" s="38"/>
      <c r="EC94" s="38"/>
      <c r="ED94" s="38"/>
      <c r="EE94" s="38"/>
      <c r="EF94" s="38"/>
      <c r="EG94" s="38"/>
      <c r="EH94" s="38"/>
      <c r="EI94" s="38"/>
      <c r="EJ94" s="38"/>
      <c r="EK94" s="38"/>
      <c r="EL94" s="38"/>
      <c r="EM94" s="38"/>
    </row>
    <row r="95" spans="2:143" x14ac:dyDescent="0.3">
      <c r="B95" s="38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38"/>
      <c r="X95" s="38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38"/>
      <c r="AK95" s="38"/>
      <c r="AL95" s="38"/>
      <c r="AM95" s="38"/>
      <c r="AN95" s="38"/>
      <c r="AO95" s="38"/>
      <c r="AP95" s="38"/>
      <c r="AQ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8"/>
      <c r="BH95" s="38"/>
      <c r="BI95" s="38"/>
      <c r="BJ95" s="38"/>
      <c r="BK95" s="38"/>
      <c r="BL95" s="38"/>
      <c r="BM95" s="38"/>
      <c r="BN95" s="38"/>
      <c r="BO95" s="38"/>
      <c r="BP95" s="38"/>
      <c r="BQ95" s="38"/>
      <c r="BR95" s="38"/>
      <c r="BS95" s="38"/>
      <c r="BT95" s="38"/>
      <c r="BU95" s="38"/>
      <c r="BV95" s="38"/>
      <c r="BW95" s="38"/>
      <c r="BX95" s="38"/>
      <c r="BY95" s="38"/>
      <c r="BZ95" s="38"/>
      <c r="CA95" s="38"/>
      <c r="CB95" s="38"/>
      <c r="CC95" s="38"/>
      <c r="CD95" s="38"/>
      <c r="CE95" s="38"/>
      <c r="CF95" s="38"/>
      <c r="CG95" s="38"/>
      <c r="CH95" s="38"/>
      <c r="CI95" s="38"/>
      <c r="CJ95" s="38"/>
      <c r="CK95" s="38"/>
      <c r="CL95" s="38"/>
      <c r="CM95" s="38"/>
      <c r="CN95" s="38"/>
      <c r="CO95" s="38"/>
      <c r="CP95" s="38"/>
      <c r="CQ95" s="38"/>
      <c r="CR95" s="38"/>
      <c r="CS95" s="38"/>
      <c r="CT95" s="38"/>
      <c r="CU95" s="38"/>
      <c r="CV95" s="38"/>
      <c r="CW95" s="38"/>
      <c r="CX95" s="38"/>
      <c r="CY95" s="38"/>
      <c r="CZ95" s="38"/>
      <c r="DA95" s="38"/>
      <c r="DB95" s="38"/>
      <c r="DC95" s="38"/>
      <c r="DD95" s="38"/>
      <c r="DE95" s="38"/>
      <c r="DF95" s="38"/>
      <c r="DG95" s="38"/>
      <c r="DH95" s="38"/>
      <c r="DI95" s="38"/>
      <c r="DJ95" s="38"/>
      <c r="DK95" s="38"/>
      <c r="DL95" s="38"/>
      <c r="DM95" s="38"/>
      <c r="DN95" s="38"/>
      <c r="DO95" s="38"/>
      <c r="DP95" s="38"/>
      <c r="DQ95" s="38"/>
      <c r="DR95" s="38"/>
      <c r="DS95" s="38"/>
      <c r="DT95" s="38"/>
      <c r="DU95" s="38"/>
      <c r="DV95" s="38"/>
      <c r="DW95" s="38"/>
      <c r="DX95" s="38"/>
      <c r="DY95" s="38"/>
      <c r="DZ95" s="38"/>
      <c r="EA95" s="38"/>
      <c r="EB95" s="38"/>
      <c r="EC95" s="38"/>
      <c r="ED95" s="38"/>
      <c r="EE95" s="38"/>
      <c r="EF95" s="38"/>
      <c r="EG95" s="38"/>
      <c r="EH95" s="38"/>
      <c r="EI95" s="38"/>
      <c r="EJ95" s="38"/>
      <c r="EK95" s="38"/>
      <c r="EL95" s="38"/>
      <c r="EM95" s="38"/>
    </row>
    <row r="96" spans="2:143" x14ac:dyDescent="0.3">
      <c r="B96" s="38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38"/>
      <c r="X96" s="38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38"/>
      <c r="AK96" s="38"/>
      <c r="AL96" s="38"/>
      <c r="AM96" s="38"/>
      <c r="AN96" s="38"/>
      <c r="AO96" s="38"/>
      <c r="AP96" s="38"/>
      <c r="AQ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8"/>
      <c r="BH96" s="38"/>
      <c r="BI96" s="38"/>
      <c r="BJ96" s="38"/>
      <c r="BK96" s="38"/>
      <c r="BL96" s="38"/>
      <c r="BM96" s="38"/>
      <c r="BN96" s="38"/>
      <c r="BO96" s="38"/>
      <c r="BP96" s="38"/>
      <c r="BQ96" s="38"/>
      <c r="BR96" s="38"/>
      <c r="BS96" s="38"/>
      <c r="BT96" s="38"/>
      <c r="BU96" s="38"/>
      <c r="BV96" s="38"/>
      <c r="BW96" s="38"/>
      <c r="BX96" s="38"/>
      <c r="BY96" s="38"/>
      <c r="BZ96" s="38"/>
      <c r="CA96" s="38"/>
      <c r="CB96" s="38"/>
      <c r="CC96" s="38"/>
      <c r="CD96" s="38"/>
      <c r="CE96" s="38"/>
      <c r="CF96" s="38"/>
      <c r="CG96" s="38"/>
      <c r="CH96" s="38"/>
      <c r="CI96" s="38"/>
      <c r="CJ96" s="38"/>
      <c r="CK96" s="38"/>
      <c r="CL96" s="38"/>
      <c r="CM96" s="38"/>
      <c r="CN96" s="38"/>
      <c r="CO96" s="38"/>
      <c r="CP96" s="38"/>
      <c r="CQ96" s="38"/>
      <c r="CR96" s="38"/>
      <c r="CS96" s="38"/>
      <c r="CT96" s="38"/>
      <c r="CU96" s="38"/>
      <c r="CV96" s="38"/>
      <c r="CW96" s="38"/>
      <c r="CX96" s="38"/>
      <c r="CY96" s="38"/>
      <c r="CZ96" s="38"/>
      <c r="DA96" s="38"/>
      <c r="DB96" s="38"/>
      <c r="DC96" s="38"/>
      <c r="DD96" s="38"/>
      <c r="DE96" s="38"/>
      <c r="DF96" s="38"/>
      <c r="DG96" s="38"/>
      <c r="DH96" s="38"/>
      <c r="DI96" s="38"/>
      <c r="DJ96" s="38"/>
      <c r="DK96" s="38"/>
      <c r="DL96" s="38"/>
      <c r="DM96" s="38"/>
      <c r="DN96" s="38"/>
      <c r="DO96" s="38"/>
      <c r="DP96" s="38"/>
      <c r="DQ96" s="38"/>
      <c r="DR96" s="38"/>
      <c r="DS96" s="38"/>
      <c r="DT96" s="38"/>
      <c r="DU96" s="38"/>
      <c r="DV96" s="38"/>
      <c r="DW96" s="38"/>
      <c r="DX96" s="38"/>
      <c r="DY96" s="38"/>
      <c r="DZ96" s="38"/>
      <c r="EA96" s="38"/>
      <c r="EB96" s="38"/>
      <c r="EC96" s="38"/>
      <c r="ED96" s="38"/>
      <c r="EE96" s="38"/>
      <c r="EF96" s="38"/>
      <c r="EG96" s="38"/>
      <c r="EH96" s="38"/>
      <c r="EI96" s="38"/>
      <c r="EJ96" s="38"/>
      <c r="EK96" s="38"/>
      <c r="EL96" s="38"/>
      <c r="EM96" s="38"/>
    </row>
    <row r="97" spans="2:143" x14ac:dyDescent="0.3">
      <c r="B97" s="38"/>
      <c r="C97" s="38"/>
      <c r="D97" s="38"/>
      <c r="E97" s="38"/>
      <c r="F97" s="38"/>
      <c r="G97" s="38"/>
      <c r="H97" s="38"/>
      <c r="I97" s="38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38"/>
      <c r="X97" s="38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38"/>
      <c r="AK97" s="38"/>
      <c r="AL97" s="38"/>
      <c r="AM97" s="38"/>
      <c r="AN97" s="38"/>
      <c r="AO97" s="38"/>
      <c r="AP97" s="38"/>
      <c r="AQ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8"/>
      <c r="BH97" s="38"/>
      <c r="BI97" s="38"/>
      <c r="BJ97" s="38"/>
      <c r="BK97" s="38"/>
      <c r="BL97" s="38"/>
      <c r="BM97" s="38"/>
      <c r="BN97" s="38"/>
      <c r="BO97" s="38"/>
      <c r="BP97" s="38"/>
      <c r="BQ97" s="38"/>
      <c r="BR97" s="38"/>
      <c r="BS97" s="38"/>
      <c r="BT97" s="38"/>
      <c r="BU97" s="38"/>
      <c r="BV97" s="38"/>
      <c r="BW97" s="38"/>
      <c r="BX97" s="38"/>
      <c r="BY97" s="38"/>
      <c r="BZ97" s="38"/>
      <c r="CA97" s="38"/>
      <c r="CB97" s="38"/>
      <c r="CC97" s="38"/>
      <c r="CD97" s="38"/>
      <c r="CE97" s="38"/>
      <c r="CF97" s="38"/>
      <c r="CG97" s="38"/>
      <c r="CH97" s="38"/>
      <c r="CI97" s="38"/>
      <c r="CJ97" s="38"/>
      <c r="CK97" s="38"/>
      <c r="CL97" s="38"/>
      <c r="CM97" s="38"/>
      <c r="CN97" s="38"/>
      <c r="CO97" s="38"/>
      <c r="CP97" s="38"/>
      <c r="CQ97" s="38"/>
      <c r="CR97" s="38"/>
      <c r="CS97" s="38"/>
      <c r="CT97" s="38"/>
      <c r="CU97" s="38"/>
      <c r="CV97" s="38"/>
      <c r="CW97" s="38"/>
      <c r="CX97" s="38"/>
      <c r="CY97" s="38"/>
      <c r="CZ97" s="38"/>
      <c r="DA97" s="38"/>
      <c r="DB97" s="38"/>
      <c r="DC97" s="38"/>
      <c r="DD97" s="38"/>
      <c r="DE97" s="38"/>
      <c r="DF97" s="38"/>
      <c r="DG97" s="38"/>
      <c r="DH97" s="38"/>
      <c r="DI97" s="38"/>
      <c r="DJ97" s="38"/>
      <c r="DK97" s="38"/>
      <c r="DL97" s="38"/>
      <c r="DM97" s="38"/>
      <c r="DN97" s="38"/>
      <c r="DO97" s="38"/>
      <c r="DP97" s="38"/>
      <c r="DQ97" s="38"/>
      <c r="DR97" s="38"/>
      <c r="DS97" s="38"/>
      <c r="DT97" s="38"/>
      <c r="DU97" s="38"/>
      <c r="DV97" s="38"/>
      <c r="DW97" s="38"/>
      <c r="DX97" s="38"/>
      <c r="DY97" s="38"/>
      <c r="DZ97" s="38"/>
      <c r="EA97" s="38"/>
      <c r="EB97" s="38"/>
      <c r="EC97" s="38"/>
      <c r="ED97" s="38"/>
      <c r="EE97" s="38"/>
      <c r="EF97" s="38"/>
      <c r="EG97" s="38"/>
      <c r="EH97" s="38"/>
      <c r="EI97" s="38"/>
      <c r="EJ97" s="38"/>
      <c r="EK97" s="38"/>
      <c r="EL97" s="38"/>
      <c r="EM97" s="38"/>
    </row>
    <row r="98" spans="2:143" x14ac:dyDescent="0.3"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38"/>
      <c r="X98" s="38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8"/>
      <c r="BH98" s="38"/>
      <c r="BI98" s="38"/>
      <c r="BJ98" s="38"/>
      <c r="BK98" s="38"/>
      <c r="BL98" s="38"/>
      <c r="BM98" s="38"/>
      <c r="BN98" s="38"/>
      <c r="BO98" s="38"/>
      <c r="BP98" s="38"/>
      <c r="BQ98" s="38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38"/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38"/>
      <c r="DC98" s="38"/>
      <c r="DD98" s="38"/>
      <c r="DE98" s="38"/>
      <c r="DF98" s="38"/>
      <c r="DG98" s="38"/>
      <c r="DH98" s="38"/>
      <c r="DI98" s="38"/>
      <c r="DJ98" s="38"/>
      <c r="DK98" s="38"/>
      <c r="DL98" s="38"/>
      <c r="DM98" s="38"/>
      <c r="DN98" s="38"/>
      <c r="DO98" s="38"/>
      <c r="DP98" s="38"/>
      <c r="DQ98" s="38"/>
      <c r="DR98" s="38"/>
      <c r="DS98" s="38"/>
      <c r="DT98" s="38"/>
      <c r="DU98" s="38"/>
      <c r="DV98" s="38"/>
      <c r="DW98" s="38"/>
      <c r="DX98" s="38"/>
      <c r="DY98" s="38"/>
      <c r="DZ98" s="38"/>
      <c r="EA98" s="38"/>
      <c r="EB98" s="38"/>
      <c r="EC98" s="38"/>
      <c r="ED98" s="38"/>
      <c r="EE98" s="38"/>
      <c r="EF98" s="38"/>
      <c r="EG98" s="38"/>
      <c r="EH98" s="38"/>
      <c r="EI98" s="38"/>
      <c r="EJ98" s="38"/>
      <c r="EK98" s="38"/>
      <c r="EL98" s="38"/>
      <c r="EM98" s="38"/>
    </row>
    <row r="99" spans="2:143" x14ac:dyDescent="0.3">
      <c r="B99" s="38"/>
      <c r="C99" s="38"/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38"/>
      <c r="X99" s="38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8"/>
      <c r="BH99" s="38"/>
      <c r="BI99" s="38"/>
      <c r="BJ99" s="38"/>
      <c r="BK99" s="38"/>
      <c r="BL99" s="38"/>
      <c r="BM99" s="38"/>
      <c r="BN99" s="38"/>
      <c r="BO99" s="38"/>
      <c r="BP99" s="38"/>
      <c r="BQ99" s="38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38"/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38"/>
      <c r="DC99" s="38"/>
      <c r="DD99" s="38"/>
      <c r="DE99" s="38"/>
      <c r="DF99" s="38"/>
      <c r="DG99" s="38"/>
      <c r="DH99" s="38"/>
      <c r="DI99" s="38"/>
      <c r="DJ99" s="38"/>
      <c r="DK99" s="38"/>
      <c r="DL99" s="38"/>
      <c r="DM99" s="38"/>
      <c r="DN99" s="38"/>
      <c r="DO99" s="38"/>
      <c r="DP99" s="38"/>
      <c r="DQ99" s="38"/>
      <c r="DR99" s="38"/>
      <c r="DS99" s="38"/>
      <c r="DT99" s="38"/>
      <c r="DU99" s="38"/>
      <c r="DV99" s="38"/>
      <c r="DW99" s="38"/>
      <c r="DX99" s="38"/>
      <c r="DY99" s="38"/>
      <c r="DZ99" s="38"/>
      <c r="EA99" s="38"/>
      <c r="EB99" s="38"/>
      <c r="EC99" s="38"/>
      <c r="ED99" s="38"/>
      <c r="EE99" s="38"/>
      <c r="EF99" s="38"/>
      <c r="EG99" s="38"/>
      <c r="EH99" s="38"/>
      <c r="EI99" s="38"/>
      <c r="EJ99" s="38"/>
      <c r="EK99" s="38"/>
      <c r="EL99" s="38"/>
      <c r="EM99" s="38"/>
    </row>
    <row r="100" spans="2:143" x14ac:dyDescent="0.3">
      <c r="B100" s="38"/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8"/>
      <c r="BH100" s="38"/>
      <c r="BI100" s="38"/>
      <c r="BJ100" s="38"/>
      <c r="BK100" s="38"/>
      <c r="BL100" s="38"/>
      <c r="BM100" s="38"/>
      <c r="BN100" s="38"/>
      <c r="BO100" s="38"/>
      <c r="BP100" s="38"/>
      <c r="BQ100" s="38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  <c r="CP100" s="38"/>
      <c r="CQ100" s="38"/>
      <c r="CR100" s="38"/>
      <c r="CS100" s="38"/>
      <c r="CT100" s="38"/>
      <c r="CU100" s="38"/>
      <c r="CV100" s="38"/>
      <c r="CW100" s="38"/>
      <c r="CX100" s="38"/>
      <c r="CY100" s="38"/>
      <c r="CZ100" s="38"/>
      <c r="DA100" s="38"/>
      <c r="DB100" s="38"/>
      <c r="DC100" s="38"/>
      <c r="DD100" s="38"/>
      <c r="DE100" s="38"/>
      <c r="DF100" s="38"/>
      <c r="DG100" s="38"/>
      <c r="DH100" s="38"/>
      <c r="DI100" s="38"/>
      <c r="DJ100" s="38"/>
      <c r="DK100" s="38"/>
      <c r="DL100" s="38"/>
      <c r="DM100" s="38"/>
      <c r="DN100" s="38"/>
      <c r="DO100" s="38"/>
      <c r="DP100" s="38"/>
      <c r="DQ100" s="38"/>
      <c r="DR100" s="38"/>
      <c r="DS100" s="38"/>
      <c r="DT100" s="38"/>
      <c r="DU100" s="38"/>
      <c r="DV100" s="38"/>
      <c r="DW100" s="38"/>
      <c r="DX100" s="38"/>
      <c r="DY100" s="38"/>
      <c r="DZ100" s="38"/>
      <c r="EA100" s="38"/>
      <c r="EB100" s="38"/>
      <c r="EC100" s="38"/>
      <c r="ED100" s="38"/>
      <c r="EE100" s="38"/>
      <c r="EF100" s="38"/>
      <c r="EG100" s="38"/>
      <c r="EH100" s="38"/>
      <c r="EI100" s="38"/>
      <c r="EJ100" s="38"/>
      <c r="EK100" s="38"/>
      <c r="EL100" s="38"/>
      <c r="EM100" s="38"/>
    </row>
    <row r="101" spans="2:143" x14ac:dyDescent="0.3"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38"/>
      <c r="X101" s="38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8"/>
      <c r="BH101" s="38"/>
      <c r="BI101" s="38"/>
      <c r="BJ101" s="38"/>
      <c r="BK101" s="38"/>
      <c r="BL101" s="38"/>
      <c r="BM101" s="38"/>
      <c r="BN101" s="38"/>
      <c r="BO101" s="38"/>
      <c r="BP101" s="38"/>
      <c r="BQ101" s="38"/>
      <c r="BR101" s="38"/>
      <c r="BS101" s="38"/>
      <c r="BT101" s="38"/>
      <c r="BU101" s="38"/>
      <c r="BV101" s="38"/>
      <c r="BW101" s="38"/>
      <c r="BX101" s="38"/>
      <c r="BY101" s="38"/>
      <c r="BZ101" s="38"/>
      <c r="CA101" s="38"/>
      <c r="CB101" s="38"/>
      <c r="CC101" s="38"/>
      <c r="CD101" s="38"/>
      <c r="CE101" s="38"/>
      <c r="CF101" s="38"/>
      <c r="CG101" s="38"/>
      <c r="CH101" s="38"/>
      <c r="CI101" s="38"/>
      <c r="CJ101" s="38"/>
      <c r="CK101" s="38"/>
      <c r="CL101" s="38"/>
      <c r="CM101" s="38"/>
      <c r="CN101" s="38"/>
      <c r="CO101" s="38"/>
      <c r="CP101" s="38"/>
      <c r="CQ101" s="38"/>
      <c r="CR101" s="38"/>
      <c r="CS101" s="38"/>
      <c r="CT101" s="38"/>
      <c r="CU101" s="38"/>
      <c r="CV101" s="38"/>
      <c r="CW101" s="38"/>
      <c r="CX101" s="38"/>
      <c r="CY101" s="38"/>
      <c r="CZ101" s="38"/>
      <c r="DA101" s="38"/>
      <c r="DB101" s="38"/>
      <c r="DC101" s="38"/>
      <c r="DD101" s="38"/>
      <c r="DE101" s="38"/>
      <c r="DF101" s="38"/>
      <c r="DG101" s="38"/>
      <c r="DH101" s="38"/>
      <c r="DI101" s="38"/>
      <c r="DJ101" s="38"/>
      <c r="DK101" s="38"/>
      <c r="DL101" s="38"/>
      <c r="DM101" s="38"/>
      <c r="DN101" s="38"/>
      <c r="DO101" s="38"/>
      <c r="DP101" s="38"/>
      <c r="DQ101" s="38"/>
      <c r="DR101" s="38"/>
      <c r="DS101" s="38"/>
      <c r="DT101" s="38"/>
      <c r="DU101" s="38"/>
      <c r="DV101" s="38"/>
      <c r="DW101" s="38"/>
      <c r="DX101" s="38"/>
      <c r="DY101" s="38"/>
      <c r="DZ101" s="38"/>
      <c r="EA101" s="38"/>
      <c r="EB101" s="38"/>
      <c r="EC101" s="38"/>
      <c r="ED101" s="38"/>
      <c r="EE101" s="38"/>
      <c r="EF101" s="38"/>
      <c r="EG101" s="38"/>
      <c r="EH101" s="38"/>
      <c r="EI101" s="38"/>
      <c r="EJ101" s="38"/>
      <c r="EK101" s="38"/>
      <c r="EL101" s="38"/>
      <c r="EM101" s="38"/>
    </row>
    <row r="102" spans="2:143" x14ac:dyDescent="0.3">
      <c r="B102" s="38"/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  <c r="EB102" s="38"/>
      <c r="EC102" s="38"/>
      <c r="ED102" s="38"/>
      <c r="EE102" s="38"/>
      <c r="EF102" s="38"/>
      <c r="EG102" s="38"/>
      <c r="EH102" s="38"/>
      <c r="EI102" s="38"/>
      <c r="EJ102" s="38"/>
      <c r="EK102" s="38"/>
      <c r="EL102" s="38"/>
      <c r="EM102" s="38"/>
    </row>
    <row r="103" spans="2:143" x14ac:dyDescent="0.3">
      <c r="B103" s="38"/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38"/>
      <c r="X103" s="38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8"/>
      <c r="BH103" s="38"/>
      <c r="BI103" s="38"/>
      <c r="BJ103" s="38"/>
      <c r="BK103" s="38"/>
      <c r="BL103" s="38"/>
      <c r="BM103" s="38"/>
      <c r="BN103" s="38"/>
      <c r="BO103" s="38"/>
      <c r="BP103" s="38"/>
      <c r="BQ103" s="38"/>
      <c r="BR103" s="38"/>
      <c r="BS103" s="38"/>
      <c r="BT103" s="38"/>
      <c r="BU103" s="38"/>
      <c r="BV103" s="38"/>
      <c r="BW103" s="38"/>
      <c r="BX103" s="38"/>
      <c r="BY103" s="38"/>
      <c r="BZ103" s="38"/>
      <c r="CA103" s="38"/>
      <c r="CB103" s="38"/>
      <c r="CC103" s="38"/>
      <c r="CD103" s="38"/>
      <c r="CE103" s="38"/>
      <c r="CF103" s="38"/>
      <c r="CG103" s="38"/>
      <c r="CH103" s="38"/>
      <c r="CI103" s="38"/>
      <c r="CJ103" s="38"/>
      <c r="CK103" s="38"/>
      <c r="CL103" s="38"/>
      <c r="CM103" s="38"/>
      <c r="CN103" s="38"/>
      <c r="CO103" s="38"/>
      <c r="CP103" s="38"/>
      <c r="CQ103" s="38"/>
      <c r="CR103" s="38"/>
      <c r="CS103" s="38"/>
      <c r="CT103" s="38"/>
      <c r="CU103" s="38"/>
      <c r="CV103" s="38"/>
      <c r="CW103" s="38"/>
      <c r="CX103" s="38"/>
      <c r="CY103" s="38"/>
      <c r="CZ103" s="38"/>
      <c r="DA103" s="38"/>
      <c r="DB103" s="38"/>
      <c r="DC103" s="38"/>
      <c r="DD103" s="38"/>
      <c r="DE103" s="38"/>
      <c r="DF103" s="38"/>
      <c r="DG103" s="38"/>
      <c r="DH103" s="38"/>
      <c r="DI103" s="38"/>
      <c r="DJ103" s="38"/>
      <c r="DK103" s="38"/>
      <c r="DL103" s="38"/>
      <c r="DM103" s="38"/>
      <c r="DN103" s="38"/>
      <c r="DO103" s="38"/>
      <c r="DP103" s="38"/>
      <c r="DQ103" s="38"/>
      <c r="DR103" s="38"/>
      <c r="DS103" s="38"/>
      <c r="DT103" s="38"/>
      <c r="DU103" s="38"/>
      <c r="DV103" s="38"/>
      <c r="DW103" s="38"/>
      <c r="DX103" s="38"/>
      <c r="DY103" s="38"/>
      <c r="DZ103" s="38"/>
      <c r="EA103" s="38"/>
      <c r="EB103" s="38"/>
      <c r="EC103" s="38"/>
      <c r="ED103" s="38"/>
      <c r="EE103" s="38"/>
      <c r="EF103" s="38"/>
      <c r="EG103" s="38"/>
      <c r="EH103" s="38"/>
      <c r="EI103" s="38"/>
      <c r="EJ103" s="38"/>
      <c r="EK103" s="38"/>
      <c r="EL103" s="38"/>
      <c r="EM103" s="38"/>
    </row>
    <row r="104" spans="2:143" x14ac:dyDescent="0.3">
      <c r="B104" s="38"/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8"/>
      <c r="BH104" s="38"/>
      <c r="BI104" s="38"/>
      <c r="BJ104" s="38"/>
      <c r="BK104" s="38"/>
      <c r="BL104" s="38"/>
      <c r="BM104" s="38"/>
      <c r="BN104" s="38"/>
      <c r="BO104" s="38"/>
      <c r="BP104" s="38"/>
      <c r="BQ104" s="38"/>
      <c r="BR104" s="38"/>
      <c r="BS104" s="38"/>
      <c r="BT104" s="38"/>
      <c r="BU104" s="38"/>
      <c r="BV104" s="38"/>
      <c r="BW104" s="38"/>
      <c r="BX104" s="38"/>
      <c r="BY104" s="38"/>
      <c r="BZ104" s="38"/>
      <c r="CA104" s="38"/>
      <c r="CB104" s="38"/>
      <c r="CC104" s="38"/>
      <c r="CD104" s="38"/>
      <c r="CE104" s="38"/>
      <c r="CF104" s="38"/>
      <c r="CG104" s="38"/>
      <c r="CH104" s="38"/>
      <c r="CI104" s="38"/>
      <c r="CJ104" s="38"/>
      <c r="CK104" s="38"/>
      <c r="CL104" s="38"/>
      <c r="CM104" s="38"/>
      <c r="CN104" s="38"/>
      <c r="CO104" s="38"/>
      <c r="CP104" s="38"/>
      <c r="CQ104" s="38"/>
      <c r="CR104" s="38"/>
      <c r="CS104" s="38"/>
      <c r="CT104" s="38"/>
      <c r="CU104" s="38"/>
      <c r="CV104" s="38"/>
      <c r="CW104" s="38"/>
      <c r="CX104" s="38"/>
      <c r="CY104" s="38"/>
      <c r="CZ104" s="38"/>
      <c r="DA104" s="38"/>
      <c r="DB104" s="38"/>
      <c r="DC104" s="38"/>
      <c r="DD104" s="38"/>
      <c r="DE104" s="38"/>
      <c r="DF104" s="38"/>
      <c r="DG104" s="38"/>
      <c r="DH104" s="38"/>
      <c r="DI104" s="38"/>
      <c r="DJ104" s="38"/>
      <c r="DK104" s="38"/>
      <c r="DL104" s="38"/>
      <c r="DM104" s="38"/>
      <c r="DN104" s="38"/>
      <c r="DO104" s="38"/>
      <c r="DP104" s="38"/>
      <c r="DQ104" s="38"/>
      <c r="DR104" s="38"/>
      <c r="DS104" s="38"/>
      <c r="DT104" s="38"/>
      <c r="DU104" s="38"/>
      <c r="DV104" s="38"/>
      <c r="DW104" s="38"/>
      <c r="DX104" s="38"/>
      <c r="DY104" s="38"/>
      <c r="DZ104" s="38"/>
      <c r="EA104" s="38"/>
      <c r="EB104" s="38"/>
      <c r="EC104" s="38"/>
      <c r="ED104" s="38"/>
      <c r="EE104" s="38"/>
      <c r="EF104" s="38"/>
      <c r="EG104" s="38"/>
      <c r="EH104" s="38"/>
      <c r="EI104" s="38"/>
      <c r="EJ104" s="38"/>
      <c r="EK104" s="38"/>
      <c r="EL104" s="38"/>
      <c r="EM104" s="38"/>
    </row>
    <row r="105" spans="2:143" x14ac:dyDescent="0.3">
      <c r="B105" s="38"/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8"/>
      <c r="V105" s="38"/>
      <c r="W105" s="38"/>
      <c r="X105" s="38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8"/>
      <c r="BH105" s="38"/>
      <c r="BI105" s="38"/>
      <c r="BJ105" s="38"/>
      <c r="BK105" s="38"/>
      <c r="BL105" s="38"/>
      <c r="BM105" s="38"/>
      <c r="BN105" s="38"/>
      <c r="BO105" s="38"/>
      <c r="BP105" s="38"/>
      <c r="BQ105" s="38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  <c r="CP105" s="38"/>
      <c r="CQ105" s="38"/>
      <c r="CR105" s="38"/>
      <c r="CS105" s="38"/>
      <c r="CT105" s="38"/>
      <c r="CU105" s="38"/>
      <c r="CV105" s="38"/>
      <c r="CW105" s="38"/>
      <c r="CX105" s="38"/>
      <c r="CY105" s="38"/>
      <c r="CZ105" s="38"/>
      <c r="DA105" s="38"/>
      <c r="DB105" s="38"/>
      <c r="DC105" s="38"/>
      <c r="DD105" s="38"/>
      <c r="DE105" s="38"/>
      <c r="DF105" s="38"/>
      <c r="DG105" s="38"/>
      <c r="DH105" s="38"/>
      <c r="DI105" s="38"/>
      <c r="DJ105" s="38"/>
      <c r="DK105" s="38"/>
      <c r="DL105" s="38"/>
      <c r="DM105" s="38"/>
      <c r="DN105" s="38"/>
      <c r="DO105" s="38"/>
      <c r="DP105" s="38"/>
      <c r="DQ105" s="38"/>
      <c r="DR105" s="38"/>
      <c r="DS105" s="38"/>
      <c r="DT105" s="38"/>
      <c r="DU105" s="38"/>
      <c r="DV105" s="38"/>
      <c r="DW105" s="38"/>
      <c r="DX105" s="38"/>
      <c r="DY105" s="38"/>
      <c r="DZ105" s="38"/>
      <c r="EA105" s="38"/>
      <c r="EB105" s="38"/>
      <c r="EC105" s="38"/>
      <c r="ED105" s="38"/>
      <c r="EE105" s="38"/>
      <c r="EF105" s="38"/>
      <c r="EG105" s="38"/>
      <c r="EH105" s="38"/>
      <c r="EI105" s="38"/>
      <c r="EJ105" s="38"/>
      <c r="EK105" s="38"/>
      <c r="EL105" s="38"/>
      <c r="EM105" s="38"/>
    </row>
    <row r="106" spans="2:143" x14ac:dyDescent="0.3">
      <c r="B106" s="38"/>
      <c r="C106" s="38"/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8"/>
      <c r="V106" s="38"/>
      <c r="W106" s="38"/>
      <c r="X106" s="38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8"/>
      <c r="BH106" s="38"/>
      <c r="BI106" s="38"/>
      <c r="BJ106" s="38"/>
      <c r="BK106" s="38"/>
      <c r="BL106" s="38"/>
      <c r="BM106" s="38"/>
      <c r="BN106" s="38"/>
      <c r="BO106" s="38"/>
      <c r="BP106" s="38"/>
      <c r="BQ106" s="38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38"/>
      <c r="CQ106" s="38"/>
      <c r="CR106" s="38"/>
      <c r="CS106" s="38"/>
      <c r="CT106" s="38"/>
      <c r="CU106" s="38"/>
      <c r="CV106" s="38"/>
      <c r="CW106" s="38"/>
      <c r="CX106" s="38"/>
      <c r="CY106" s="38"/>
      <c r="CZ106" s="38"/>
      <c r="DA106" s="38"/>
      <c r="DB106" s="38"/>
      <c r="DC106" s="38"/>
      <c r="DD106" s="38"/>
      <c r="DE106" s="38"/>
      <c r="DF106" s="38"/>
      <c r="DG106" s="38"/>
      <c r="DH106" s="38"/>
      <c r="DI106" s="38"/>
      <c r="DJ106" s="38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  <c r="EI106" s="38"/>
      <c r="EJ106" s="38"/>
      <c r="EK106" s="38"/>
      <c r="EL106" s="38"/>
      <c r="EM106" s="38"/>
    </row>
    <row r="107" spans="2:143" x14ac:dyDescent="0.3">
      <c r="B107" s="38"/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/>
      <c r="V107" s="38"/>
      <c r="W107" s="38"/>
      <c r="X107" s="38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8"/>
      <c r="BH107" s="38"/>
      <c r="BI107" s="38"/>
      <c r="BJ107" s="38"/>
      <c r="BK107" s="38"/>
      <c r="BL107" s="38"/>
      <c r="BM107" s="38"/>
      <c r="BN107" s="38"/>
      <c r="BO107" s="38"/>
      <c r="BP107" s="38"/>
      <c r="BQ107" s="38"/>
      <c r="BR107" s="38"/>
      <c r="BS107" s="38"/>
      <c r="BT107" s="38"/>
      <c r="BU107" s="38"/>
      <c r="BV107" s="38"/>
      <c r="BW107" s="38"/>
      <c r="BX107" s="38"/>
      <c r="BY107" s="38"/>
      <c r="BZ107" s="38"/>
      <c r="CA107" s="38"/>
      <c r="CB107" s="38"/>
      <c r="CC107" s="38"/>
      <c r="CD107" s="38"/>
      <c r="CE107" s="38"/>
      <c r="CF107" s="38"/>
      <c r="CG107" s="38"/>
      <c r="CH107" s="38"/>
      <c r="CI107" s="38"/>
      <c r="CJ107" s="38"/>
      <c r="CK107" s="38"/>
      <c r="CL107" s="38"/>
      <c r="CM107" s="38"/>
      <c r="CN107" s="38"/>
      <c r="CO107" s="38"/>
      <c r="CP107" s="38"/>
      <c r="CQ107" s="38"/>
      <c r="CR107" s="38"/>
      <c r="CS107" s="38"/>
      <c r="CT107" s="38"/>
      <c r="CU107" s="38"/>
      <c r="CV107" s="38"/>
      <c r="CW107" s="38"/>
      <c r="CX107" s="38"/>
      <c r="CY107" s="38"/>
      <c r="CZ107" s="38"/>
      <c r="DA107" s="38"/>
      <c r="DB107" s="38"/>
      <c r="DC107" s="38"/>
      <c r="DD107" s="38"/>
      <c r="DE107" s="38"/>
      <c r="DF107" s="38"/>
      <c r="DG107" s="38"/>
      <c r="DH107" s="38"/>
      <c r="DI107" s="38"/>
      <c r="DJ107" s="38"/>
      <c r="DK107" s="38"/>
      <c r="DL107" s="38"/>
      <c r="DM107" s="38"/>
      <c r="DN107" s="38"/>
      <c r="DO107" s="38"/>
      <c r="DP107" s="38"/>
      <c r="DQ107" s="38"/>
      <c r="DR107" s="38"/>
      <c r="DS107" s="38"/>
      <c r="DT107" s="38"/>
      <c r="DU107" s="38"/>
      <c r="DV107" s="38"/>
      <c r="DW107" s="38"/>
      <c r="DX107" s="38"/>
      <c r="DY107" s="38"/>
      <c r="DZ107" s="38"/>
      <c r="EA107" s="38"/>
      <c r="EB107" s="38"/>
      <c r="EC107" s="38"/>
      <c r="ED107" s="38"/>
      <c r="EE107" s="38"/>
      <c r="EF107" s="38"/>
      <c r="EG107" s="38"/>
      <c r="EH107" s="38"/>
      <c r="EI107" s="38"/>
      <c r="EJ107" s="38"/>
      <c r="EK107" s="38"/>
      <c r="EL107" s="38"/>
      <c r="EM107" s="38"/>
    </row>
    <row r="108" spans="2:143" x14ac:dyDescent="0.3"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38"/>
      <c r="X108" s="38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8"/>
      <c r="BH108" s="38"/>
      <c r="BI108" s="38"/>
      <c r="BJ108" s="38"/>
      <c r="BK108" s="38"/>
      <c r="BL108" s="38"/>
      <c r="BM108" s="38"/>
      <c r="BN108" s="38"/>
      <c r="BO108" s="38"/>
      <c r="BP108" s="38"/>
      <c r="BQ108" s="38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  <c r="CM108" s="38"/>
      <c r="CN108" s="38"/>
      <c r="CO108" s="38"/>
      <c r="CP108" s="38"/>
      <c r="CQ108" s="38"/>
      <c r="CR108" s="38"/>
      <c r="CS108" s="38"/>
      <c r="CT108" s="38"/>
      <c r="CU108" s="38"/>
      <c r="CV108" s="38"/>
      <c r="CW108" s="38"/>
      <c r="CX108" s="38"/>
      <c r="CY108" s="38"/>
      <c r="CZ108" s="38"/>
      <c r="DA108" s="38"/>
      <c r="DB108" s="38"/>
      <c r="DC108" s="38"/>
      <c r="DD108" s="38"/>
      <c r="DE108" s="38"/>
      <c r="DF108" s="38"/>
      <c r="DG108" s="38"/>
      <c r="DH108" s="38"/>
      <c r="DI108" s="38"/>
      <c r="DJ108" s="38"/>
      <c r="DK108" s="38"/>
      <c r="DL108" s="38"/>
      <c r="DM108" s="38"/>
      <c r="DN108" s="38"/>
      <c r="DO108" s="38"/>
      <c r="DP108" s="38"/>
      <c r="DQ108" s="38"/>
      <c r="DR108" s="38"/>
      <c r="DS108" s="38"/>
      <c r="DT108" s="38"/>
      <c r="DU108" s="38"/>
      <c r="DV108" s="38"/>
      <c r="DW108" s="38"/>
      <c r="DX108" s="38"/>
      <c r="DY108" s="38"/>
      <c r="DZ108" s="38"/>
      <c r="EA108" s="38"/>
      <c r="EB108" s="38"/>
      <c r="EC108" s="38"/>
      <c r="ED108" s="38"/>
      <c r="EE108" s="38"/>
      <c r="EF108" s="38"/>
      <c r="EG108" s="38"/>
      <c r="EH108" s="38"/>
      <c r="EI108" s="38"/>
      <c r="EJ108" s="38"/>
      <c r="EK108" s="38"/>
      <c r="EL108" s="38"/>
      <c r="EM108" s="38"/>
    </row>
    <row r="109" spans="2:143" x14ac:dyDescent="0.3"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/>
      <c r="V109" s="38"/>
      <c r="W109" s="38"/>
      <c r="X109" s="38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8"/>
      <c r="BH109" s="38"/>
      <c r="BI109" s="38"/>
      <c r="BJ109" s="38"/>
      <c r="BK109" s="38"/>
      <c r="BL109" s="38"/>
      <c r="BM109" s="38"/>
      <c r="BN109" s="38"/>
      <c r="BO109" s="38"/>
      <c r="BP109" s="38"/>
      <c r="BQ109" s="38"/>
      <c r="BR109" s="38"/>
      <c r="BS109" s="38"/>
      <c r="BT109" s="38"/>
      <c r="BU109" s="38"/>
      <c r="BV109" s="38"/>
      <c r="BW109" s="38"/>
      <c r="BX109" s="38"/>
      <c r="BY109" s="38"/>
      <c r="BZ109" s="38"/>
      <c r="CA109" s="38"/>
      <c r="CB109" s="38"/>
      <c r="CC109" s="38"/>
      <c r="CD109" s="38"/>
      <c r="CE109" s="38"/>
      <c r="CF109" s="38"/>
      <c r="CG109" s="38"/>
      <c r="CH109" s="38"/>
      <c r="CI109" s="38"/>
      <c r="CJ109" s="38"/>
      <c r="CK109" s="38"/>
      <c r="CL109" s="38"/>
      <c r="CM109" s="38"/>
      <c r="CN109" s="38"/>
      <c r="CO109" s="38"/>
      <c r="CP109" s="38"/>
      <c r="CQ109" s="38"/>
      <c r="CR109" s="38"/>
      <c r="CS109" s="38"/>
      <c r="CT109" s="38"/>
      <c r="CU109" s="38"/>
      <c r="CV109" s="38"/>
      <c r="CW109" s="38"/>
      <c r="CX109" s="38"/>
      <c r="CY109" s="38"/>
      <c r="CZ109" s="38"/>
      <c r="DA109" s="38"/>
      <c r="DB109" s="38"/>
      <c r="DC109" s="38"/>
      <c r="DD109" s="38"/>
      <c r="DE109" s="38"/>
      <c r="DF109" s="38"/>
      <c r="DG109" s="38"/>
      <c r="DH109" s="38"/>
      <c r="DI109" s="38"/>
      <c r="DJ109" s="38"/>
      <c r="DK109" s="38"/>
      <c r="DL109" s="38"/>
      <c r="DM109" s="38"/>
      <c r="DN109" s="38"/>
      <c r="DO109" s="38"/>
      <c r="DP109" s="38"/>
      <c r="DQ109" s="38"/>
      <c r="DR109" s="38"/>
      <c r="DS109" s="38"/>
      <c r="DT109" s="38"/>
      <c r="DU109" s="38"/>
      <c r="DV109" s="38"/>
      <c r="DW109" s="38"/>
      <c r="DX109" s="38"/>
      <c r="DY109" s="38"/>
      <c r="DZ109" s="38"/>
      <c r="EA109" s="38"/>
      <c r="EB109" s="38"/>
      <c r="EC109" s="38"/>
      <c r="ED109" s="38"/>
      <c r="EE109" s="38"/>
      <c r="EF109" s="38"/>
      <c r="EG109" s="38"/>
      <c r="EH109" s="38"/>
      <c r="EI109" s="38"/>
      <c r="EJ109" s="38"/>
      <c r="EK109" s="38"/>
      <c r="EL109" s="38"/>
      <c r="EM109" s="38"/>
    </row>
    <row r="110" spans="2:143" x14ac:dyDescent="0.3">
      <c r="B110" s="38"/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/>
      <c r="V110" s="38"/>
      <c r="W110" s="38"/>
      <c r="X110" s="38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8"/>
      <c r="BH110" s="38"/>
      <c r="BI110" s="38"/>
      <c r="BJ110" s="38"/>
      <c r="BK110" s="38"/>
      <c r="BL110" s="38"/>
      <c r="BM110" s="38"/>
      <c r="BN110" s="38"/>
      <c r="BO110" s="38"/>
      <c r="BP110" s="38"/>
      <c r="BQ110" s="38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38"/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38"/>
      <c r="DC110" s="38"/>
      <c r="DD110" s="38"/>
      <c r="DE110" s="38"/>
      <c r="DF110" s="38"/>
      <c r="DG110" s="38"/>
      <c r="DH110" s="38"/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  <c r="EI110" s="38"/>
      <c r="EJ110" s="38"/>
      <c r="EK110" s="38"/>
      <c r="EL110" s="38"/>
      <c r="EM110" s="38"/>
    </row>
    <row r="111" spans="2:143" x14ac:dyDescent="0.3">
      <c r="B111" s="38"/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8"/>
      <c r="BH111" s="38"/>
      <c r="BI111" s="38"/>
      <c r="BJ111" s="38"/>
      <c r="BK111" s="38"/>
      <c r="BL111" s="38"/>
      <c r="BM111" s="38"/>
      <c r="BN111" s="38"/>
      <c r="BO111" s="38"/>
      <c r="BP111" s="38"/>
      <c r="BQ111" s="38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38"/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38"/>
      <c r="DC111" s="38"/>
      <c r="DD111" s="38"/>
      <c r="DE111" s="38"/>
      <c r="DF111" s="38"/>
      <c r="DG111" s="38"/>
      <c r="DH111" s="38"/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  <c r="EI111" s="38"/>
      <c r="EJ111" s="38"/>
      <c r="EK111" s="38"/>
      <c r="EL111" s="38"/>
      <c r="EM111" s="38"/>
    </row>
    <row r="112" spans="2:143" x14ac:dyDescent="0.3">
      <c r="B112" s="38"/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38"/>
      <c r="AK112" s="38"/>
      <c r="AL112" s="38"/>
      <c r="AM112" s="38"/>
      <c r="AN112" s="38"/>
      <c r="AO112" s="38"/>
      <c r="AP112" s="38"/>
      <c r="AQ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8"/>
      <c r="BH112" s="38"/>
      <c r="BI112" s="38"/>
      <c r="BJ112" s="38"/>
      <c r="BK112" s="38"/>
      <c r="BL112" s="38"/>
      <c r="BM112" s="38"/>
      <c r="BN112" s="38"/>
      <c r="BO112" s="38"/>
      <c r="BP112" s="38"/>
      <c r="BQ112" s="38"/>
      <c r="BR112" s="38"/>
      <c r="BS112" s="38"/>
      <c r="BT112" s="38"/>
      <c r="BU112" s="38"/>
      <c r="BV112" s="38"/>
      <c r="BW112" s="38"/>
      <c r="BX112" s="38"/>
      <c r="BY112" s="38"/>
      <c r="BZ112" s="38"/>
      <c r="CA112" s="38"/>
      <c r="CB112" s="38"/>
      <c r="CC112" s="38"/>
      <c r="CD112" s="38"/>
      <c r="CE112" s="38"/>
      <c r="CF112" s="38"/>
      <c r="CG112" s="38"/>
      <c r="CH112" s="38"/>
      <c r="CI112" s="38"/>
      <c r="CJ112" s="38"/>
      <c r="CK112" s="38"/>
      <c r="CL112" s="38"/>
      <c r="CM112" s="38"/>
      <c r="CN112" s="38"/>
      <c r="CO112" s="38"/>
      <c r="CP112" s="38"/>
      <c r="CQ112" s="38"/>
      <c r="CR112" s="38"/>
      <c r="CS112" s="38"/>
      <c r="CT112" s="38"/>
      <c r="CU112" s="38"/>
      <c r="CV112" s="38"/>
      <c r="CW112" s="38"/>
      <c r="CX112" s="38"/>
      <c r="CY112" s="38"/>
      <c r="CZ112" s="38"/>
      <c r="DA112" s="38"/>
      <c r="DB112" s="38"/>
      <c r="DC112" s="38"/>
      <c r="DD112" s="38"/>
      <c r="DE112" s="38"/>
      <c r="DF112" s="38"/>
      <c r="DG112" s="38"/>
      <c r="DH112" s="38"/>
      <c r="DI112" s="38"/>
      <c r="DJ112" s="38"/>
      <c r="DK112" s="38"/>
      <c r="DL112" s="38"/>
      <c r="DM112" s="38"/>
      <c r="DN112" s="38"/>
      <c r="DO112" s="38"/>
      <c r="DP112" s="38"/>
      <c r="DQ112" s="38"/>
      <c r="DR112" s="38"/>
      <c r="DS112" s="38"/>
      <c r="DT112" s="38"/>
      <c r="DU112" s="38"/>
      <c r="DV112" s="38"/>
      <c r="DW112" s="38"/>
      <c r="DX112" s="38"/>
      <c r="DY112" s="38"/>
      <c r="DZ112" s="38"/>
      <c r="EA112" s="38"/>
      <c r="EB112" s="38"/>
      <c r="EC112" s="38"/>
      <c r="ED112" s="38"/>
      <c r="EE112" s="38"/>
      <c r="EF112" s="38"/>
      <c r="EG112" s="38"/>
      <c r="EH112" s="38"/>
      <c r="EI112" s="38"/>
      <c r="EJ112" s="38"/>
      <c r="EK112" s="38"/>
      <c r="EL112" s="38"/>
      <c r="EM112" s="38"/>
    </row>
    <row r="113" spans="2:143" x14ac:dyDescent="0.3">
      <c r="B113" s="38"/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8"/>
      <c r="V113" s="38"/>
      <c r="W113" s="38"/>
      <c r="X113" s="38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38"/>
      <c r="AK113" s="38"/>
      <c r="AL113" s="38"/>
      <c r="AM113" s="38"/>
      <c r="AN113" s="38"/>
      <c r="AO113" s="38"/>
      <c r="AP113" s="38"/>
      <c r="AQ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8"/>
      <c r="BH113" s="38"/>
      <c r="BI113" s="38"/>
      <c r="BJ113" s="38"/>
      <c r="BK113" s="38"/>
      <c r="BL113" s="38"/>
      <c r="BM113" s="38"/>
      <c r="BN113" s="38"/>
      <c r="BO113" s="38"/>
      <c r="BP113" s="38"/>
      <c r="BQ113" s="38"/>
      <c r="BR113" s="38"/>
      <c r="BS113" s="38"/>
      <c r="BT113" s="38"/>
      <c r="BU113" s="38"/>
      <c r="BV113" s="38"/>
      <c r="BW113" s="38"/>
      <c r="BX113" s="38"/>
      <c r="BY113" s="38"/>
      <c r="BZ113" s="38"/>
      <c r="CA113" s="38"/>
      <c r="CB113" s="38"/>
      <c r="CC113" s="38"/>
      <c r="CD113" s="38"/>
      <c r="CE113" s="38"/>
      <c r="CF113" s="38"/>
      <c r="CG113" s="38"/>
      <c r="CH113" s="38"/>
      <c r="CI113" s="38"/>
      <c r="CJ113" s="38"/>
      <c r="CK113" s="38"/>
      <c r="CL113" s="38"/>
      <c r="CM113" s="38"/>
      <c r="CN113" s="38"/>
      <c r="CO113" s="38"/>
      <c r="CP113" s="38"/>
      <c r="CQ113" s="38"/>
      <c r="CR113" s="38"/>
      <c r="CS113" s="38"/>
      <c r="CT113" s="38"/>
      <c r="CU113" s="38"/>
      <c r="CV113" s="38"/>
      <c r="CW113" s="38"/>
      <c r="CX113" s="38"/>
      <c r="CY113" s="38"/>
      <c r="CZ113" s="38"/>
      <c r="DA113" s="38"/>
      <c r="DB113" s="38"/>
      <c r="DC113" s="38"/>
      <c r="DD113" s="38"/>
      <c r="DE113" s="38"/>
      <c r="DF113" s="38"/>
      <c r="DG113" s="38"/>
      <c r="DH113" s="38"/>
      <c r="DI113" s="38"/>
      <c r="DJ113" s="38"/>
      <c r="DK113" s="38"/>
      <c r="DL113" s="38"/>
      <c r="DM113" s="38"/>
      <c r="DN113" s="38"/>
      <c r="DO113" s="38"/>
      <c r="DP113" s="38"/>
      <c r="DQ113" s="38"/>
      <c r="DR113" s="38"/>
      <c r="DS113" s="38"/>
      <c r="DT113" s="38"/>
      <c r="DU113" s="38"/>
      <c r="DV113" s="38"/>
      <c r="DW113" s="38"/>
      <c r="DX113" s="38"/>
      <c r="DY113" s="38"/>
      <c r="DZ113" s="38"/>
      <c r="EA113" s="38"/>
      <c r="EB113" s="38"/>
      <c r="EC113" s="38"/>
      <c r="ED113" s="38"/>
      <c r="EE113" s="38"/>
      <c r="EF113" s="38"/>
      <c r="EG113" s="38"/>
      <c r="EH113" s="38"/>
      <c r="EI113" s="38"/>
      <c r="EJ113" s="38"/>
      <c r="EK113" s="38"/>
      <c r="EL113" s="38"/>
      <c r="EM113" s="38"/>
    </row>
    <row r="114" spans="2:143" x14ac:dyDescent="0.3">
      <c r="B114" s="38"/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38"/>
      <c r="AK114" s="38"/>
      <c r="AL114" s="38"/>
      <c r="AM114" s="38"/>
      <c r="AN114" s="38"/>
      <c r="AO114" s="38"/>
      <c r="AP114" s="38"/>
      <c r="AQ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8"/>
      <c r="BH114" s="38"/>
      <c r="BI114" s="38"/>
      <c r="BJ114" s="38"/>
      <c r="BK114" s="38"/>
      <c r="BL114" s="38"/>
      <c r="BM114" s="38"/>
      <c r="BN114" s="38"/>
      <c r="BO114" s="38"/>
      <c r="BP114" s="38"/>
      <c r="BQ114" s="38"/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38"/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38"/>
      <c r="DC114" s="38"/>
      <c r="DD114" s="38"/>
      <c r="DE114" s="38"/>
      <c r="DF114" s="38"/>
      <c r="DG114" s="38"/>
      <c r="DH114" s="38"/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  <c r="EI114" s="38"/>
      <c r="EJ114" s="38"/>
      <c r="EK114" s="38"/>
      <c r="EL114" s="38"/>
      <c r="EM114" s="38"/>
    </row>
    <row r="115" spans="2:143" x14ac:dyDescent="0.3">
      <c r="B115" s="38"/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38"/>
      <c r="AK115" s="38"/>
      <c r="AL115" s="38"/>
      <c r="AM115" s="38"/>
      <c r="AN115" s="38"/>
      <c r="AO115" s="38"/>
      <c r="AP115" s="38"/>
      <c r="AQ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8"/>
      <c r="BH115" s="38"/>
      <c r="BI115" s="38"/>
      <c r="BJ115" s="38"/>
      <c r="BK115" s="38"/>
      <c r="BL115" s="38"/>
      <c r="BM115" s="38"/>
      <c r="BN115" s="38"/>
      <c r="BO115" s="38"/>
      <c r="BP115" s="38"/>
      <c r="BQ115" s="38"/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38"/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38"/>
      <c r="DC115" s="38"/>
      <c r="DD115" s="38"/>
      <c r="DE115" s="38"/>
      <c r="DF115" s="38"/>
      <c r="DG115" s="38"/>
      <c r="DH115" s="38"/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  <c r="EI115" s="38"/>
      <c r="EJ115" s="38"/>
      <c r="EK115" s="38"/>
      <c r="EL115" s="38"/>
      <c r="EM115" s="38"/>
    </row>
    <row r="116" spans="2:143" x14ac:dyDescent="0.3">
      <c r="B116" s="38"/>
      <c r="C116" s="38"/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38"/>
      <c r="AK116" s="38"/>
      <c r="AL116" s="38"/>
      <c r="AM116" s="38"/>
      <c r="AN116" s="38"/>
      <c r="AO116" s="38"/>
      <c r="AP116" s="38"/>
      <c r="AQ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8"/>
      <c r="BH116" s="38"/>
      <c r="BI116" s="38"/>
      <c r="BJ116" s="38"/>
      <c r="BK116" s="38"/>
      <c r="BL116" s="38"/>
      <c r="BM116" s="38"/>
      <c r="BN116" s="38"/>
      <c r="BO116" s="38"/>
      <c r="BP116" s="38"/>
      <c r="BQ116" s="38"/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38"/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38"/>
      <c r="DC116" s="38"/>
      <c r="DD116" s="38"/>
      <c r="DE116" s="38"/>
      <c r="DF116" s="38"/>
      <c r="DG116" s="38"/>
      <c r="DH116" s="38"/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  <c r="EI116" s="38"/>
      <c r="EJ116" s="38"/>
      <c r="EK116" s="38"/>
      <c r="EL116" s="38"/>
      <c r="EM116" s="38"/>
    </row>
    <row r="117" spans="2:143" x14ac:dyDescent="0.3">
      <c r="B117" s="38"/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38"/>
      <c r="AK117" s="38"/>
      <c r="AL117" s="38"/>
      <c r="AM117" s="38"/>
      <c r="AN117" s="38"/>
      <c r="AO117" s="38"/>
      <c r="AP117" s="38"/>
      <c r="AQ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8"/>
      <c r="BH117" s="38"/>
      <c r="BI117" s="38"/>
      <c r="BJ117" s="38"/>
      <c r="BK117" s="38"/>
      <c r="BL117" s="38"/>
      <c r="BM117" s="38"/>
      <c r="BN117" s="38"/>
      <c r="BO117" s="38"/>
      <c r="BP117" s="38"/>
      <c r="BQ117" s="38"/>
      <c r="BR117" s="38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  <c r="CM117" s="38"/>
      <c r="CN117" s="38"/>
      <c r="CO117" s="38"/>
      <c r="CP117" s="38"/>
      <c r="CQ117" s="38"/>
      <c r="CR117" s="38"/>
      <c r="CS117" s="38"/>
      <c r="CT117" s="38"/>
      <c r="CU117" s="38"/>
      <c r="CV117" s="38"/>
      <c r="CW117" s="38"/>
      <c r="CX117" s="38"/>
      <c r="CY117" s="38"/>
      <c r="CZ117" s="38"/>
      <c r="DA117" s="38"/>
      <c r="DB117" s="38"/>
      <c r="DC117" s="38"/>
      <c r="DD117" s="38"/>
      <c r="DE117" s="38"/>
      <c r="DF117" s="38"/>
      <c r="DG117" s="38"/>
      <c r="DH117" s="38"/>
      <c r="DI117" s="38"/>
      <c r="DJ117" s="38"/>
      <c r="DK117" s="38"/>
      <c r="DL117" s="38"/>
      <c r="DM117" s="38"/>
      <c r="DN117" s="38"/>
      <c r="DO117" s="38"/>
      <c r="DP117" s="38"/>
      <c r="DQ117" s="38"/>
      <c r="DR117" s="38"/>
      <c r="DS117" s="38"/>
      <c r="DT117" s="38"/>
      <c r="DU117" s="38"/>
      <c r="DV117" s="38"/>
      <c r="DW117" s="38"/>
      <c r="DX117" s="38"/>
      <c r="DY117" s="38"/>
      <c r="DZ117" s="38"/>
      <c r="EA117" s="38"/>
      <c r="EB117" s="38"/>
      <c r="EC117" s="38"/>
      <c r="ED117" s="38"/>
      <c r="EE117" s="38"/>
      <c r="EF117" s="38"/>
      <c r="EG117" s="38"/>
      <c r="EH117" s="38"/>
      <c r="EI117" s="38"/>
      <c r="EJ117" s="38"/>
      <c r="EK117" s="38"/>
      <c r="EL117" s="38"/>
      <c r="EM117" s="38"/>
    </row>
    <row r="118" spans="2:143" x14ac:dyDescent="0.3"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38"/>
      <c r="AK118" s="38"/>
      <c r="AL118" s="38"/>
      <c r="AM118" s="38"/>
      <c r="AN118" s="38"/>
      <c r="AO118" s="38"/>
      <c r="AP118" s="38"/>
      <c r="AQ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8"/>
      <c r="BH118" s="38"/>
      <c r="BI118" s="38"/>
      <c r="BJ118" s="38"/>
      <c r="BK118" s="38"/>
      <c r="BL118" s="38"/>
      <c r="BM118" s="38"/>
      <c r="BN118" s="38"/>
      <c r="BO118" s="38"/>
      <c r="BP118" s="38"/>
      <c r="BQ118" s="38"/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38"/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38"/>
      <c r="DC118" s="38"/>
      <c r="DD118" s="38"/>
      <c r="DE118" s="38"/>
      <c r="DF118" s="38"/>
      <c r="DG118" s="38"/>
      <c r="DH118" s="38"/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  <c r="EB118" s="38"/>
      <c r="EC118" s="38"/>
      <c r="ED118" s="38"/>
      <c r="EE118" s="38"/>
      <c r="EF118" s="38"/>
      <c r="EG118" s="38"/>
      <c r="EH118" s="38"/>
      <c r="EI118" s="38"/>
      <c r="EJ118" s="38"/>
      <c r="EK118" s="38"/>
      <c r="EL118" s="38"/>
      <c r="EM118" s="38"/>
    </row>
    <row r="119" spans="2:143" x14ac:dyDescent="0.3">
      <c r="B119" s="38"/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38"/>
      <c r="AK119" s="38"/>
      <c r="AL119" s="38"/>
      <c r="AM119" s="38"/>
      <c r="AN119" s="38"/>
      <c r="AO119" s="38"/>
      <c r="AP119" s="38"/>
      <c r="AQ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8"/>
      <c r="BH119" s="38"/>
      <c r="BI119" s="38"/>
      <c r="BJ119" s="38"/>
      <c r="BK119" s="38"/>
      <c r="BL119" s="38"/>
      <c r="BM119" s="38"/>
      <c r="BN119" s="38"/>
      <c r="BO119" s="38"/>
      <c r="BP119" s="38"/>
      <c r="BQ119" s="38"/>
      <c r="BR119" s="38"/>
      <c r="BS119" s="38"/>
      <c r="BT119" s="38"/>
      <c r="BU119" s="38"/>
      <c r="BV119" s="38"/>
      <c r="BW119" s="38"/>
      <c r="BX119" s="38"/>
      <c r="BY119" s="38"/>
      <c r="BZ119" s="38"/>
      <c r="CA119" s="38"/>
      <c r="CB119" s="38"/>
      <c r="CC119" s="38"/>
      <c r="CD119" s="38"/>
      <c r="CE119" s="38"/>
      <c r="CF119" s="38"/>
      <c r="CG119" s="38"/>
      <c r="CH119" s="38"/>
      <c r="CI119" s="38"/>
      <c r="CJ119" s="38"/>
      <c r="CK119" s="38"/>
      <c r="CL119" s="38"/>
      <c r="CM119" s="38"/>
      <c r="CN119" s="38"/>
      <c r="CO119" s="38"/>
      <c r="CP119" s="38"/>
      <c r="CQ119" s="38"/>
      <c r="CR119" s="38"/>
      <c r="CS119" s="38"/>
      <c r="CT119" s="38"/>
      <c r="CU119" s="38"/>
      <c r="CV119" s="38"/>
      <c r="CW119" s="38"/>
      <c r="CX119" s="38"/>
      <c r="CY119" s="38"/>
      <c r="CZ119" s="38"/>
      <c r="DA119" s="38"/>
      <c r="DB119" s="38"/>
      <c r="DC119" s="38"/>
      <c r="DD119" s="38"/>
      <c r="DE119" s="38"/>
      <c r="DF119" s="38"/>
      <c r="DG119" s="38"/>
      <c r="DH119" s="38"/>
      <c r="DI119" s="38"/>
      <c r="DJ119" s="38"/>
      <c r="DK119" s="38"/>
      <c r="DL119" s="38"/>
      <c r="DM119" s="38"/>
      <c r="DN119" s="38"/>
      <c r="DO119" s="38"/>
      <c r="DP119" s="38"/>
      <c r="DQ119" s="38"/>
      <c r="DR119" s="38"/>
      <c r="DS119" s="38"/>
      <c r="DT119" s="38"/>
      <c r="DU119" s="38"/>
      <c r="DV119" s="38"/>
      <c r="DW119" s="38"/>
      <c r="DX119" s="38"/>
      <c r="DY119" s="38"/>
      <c r="DZ119" s="38"/>
      <c r="EA119" s="38"/>
      <c r="EB119" s="38"/>
      <c r="EC119" s="38"/>
      <c r="ED119" s="38"/>
      <c r="EE119" s="38"/>
      <c r="EF119" s="38"/>
      <c r="EG119" s="38"/>
      <c r="EH119" s="38"/>
      <c r="EI119" s="38"/>
      <c r="EJ119" s="38"/>
      <c r="EK119" s="38"/>
      <c r="EL119" s="38"/>
      <c r="EM119" s="38"/>
    </row>
    <row r="120" spans="2:143" x14ac:dyDescent="0.3">
      <c r="B120" s="38"/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38"/>
      <c r="AK120" s="38"/>
      <c r="AL120" s="38"/>
      <c r="AM120" s="38"/>
      <c r="AN120" s="38"/>
      <c r="AO120" s="38"/>
      <c r="AP120" s="38"/>
      <c r="AQ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8"/>
      <c r="BH120" s="38"/>
      <c r="BI120" s="38"/>
      <c r="BJ120" s="38"/>
      <c r="BK120" s="38"/>
      <c r="BL120" s="38"/>
      <c r="BM120" s="38"/>
      <c r="BN120" s="38"/>
      <c r="BO120" s="38"/>
      <c r="BP120" s="38"/>
      <c r="BQ120" s="38"/>
      <c r="BR120" s="38"/>
      <c r="BS120" s="38"/>
      <c r="BT120" s="38"/>
      <c r="BU120" s="38"/>
      <c r="BV120" s="38"/>
      <c r="BW120" s="38"/>
      <c r="BX120" s="38"/>
      <c r="BY120" s="38"/>
      <c r="BZ120" s="38"/>
      <c r="CA120" s="38"/>
      <c r="CB120" s="38"/>
      <c r="CC120" s="38"/>
      <c r="CD120" s="38"/>
      <c r="CE120" s="38"/>
      <c r="CF120" s="38"/>
      <c r="CG120" s="38"/>
      <c r="CH120" s="38"/>
      <c r="CI120" s="38"/>
      <c r="CJ120" s="38"/>
      <c r="CK120" s="38"/>
      <c r="CL120" s="38"/>
      <c r="CM120" s="38"/>
      <c r="CN120" s="38"/>
      <c r="CO120" s="38"/>
      <c r="CP120" s="38"/>
      <c r="CQ120" s="38"/>
      <c r="CR120" s="38"/>
      <c r="CS120" s="38"/>
      <c r="CT120" s="38"/>
      <c r="CU120" s="38"/>
      <c r="CV120" s="38"/>
      <c r="CW120" s="38"/>
      <c r="CX120" s="38"/>
      <c r="CY120" s="38"/>
      <c r="CZ120" s="38"/>
      <c r="DA120" s="38"/>
      <c r="DB120" s="38"/>
      <c r="DC120" s="38"/>
      <c r="DD120" s="38"/>
      <c r="DE120" s="38"/>
      <c r="DF120" s="38"/>
      <c r="DG120" s="38"/>
      <c r="DH120" s="38"/>
      <c r="DI120" s="38"/>
      <c r="DJ120" s="38"/>
      <c r="DK120" s="38"/>
      <c r="DL120" s="38"/>
      <c r="DM120" s="38"/>
      <c r="DN120" s="38"/>
      <c r="DO120" s="38"/>
      <c r="DP120" s="38"/>
      <c r="DQ120" s="38"/>
      <c r="DR120" s="38"/>
      <c r="DS120" s="38"/>
      <c r="DT120" s="38"/>
      <c r="DU120" s="38"/>
      <c r="DV120" s="38"/>
      <c r="DW120" s="38"/>
      <c r="DX120" s="38"/>
      <c r="DY120" s="38"/>
      <c r="DZ120" s="38"/>
      <c r="EA120" s="38"/>
      <c r="EB120" s="38"/>
      <c r="EC120" s="38"/>
      <c r="ED120" s="38"/>
      <c r="EE120" s="38"/>
      <c r="EF120" s="38"/>
      <c r="EG120" s="38"/>
      <c r="EH120" s="38"/>
      <c r="EI120" s="38"/>
      <c r="EJ120" s="38"/>
      <c r="EK120" s="38"/>
      <c r="EL120" s="38"/>
      <c r="EM120" s="38"/>
    </row>
    <row r="121" spans="2:143" x14ac:dyDescent="0.3">
      <c r="B121" s="38"/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38"/>
      <c r="AK121" s="38"/>
      <c r="AL121" s="38"/>
      <c r="AM121" s="38"/>
      <c r="AN121" s="38"/>
      <c r="AO121" s="38"/>
      <c r="AP121" s="38"/>
      <c r="AQ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8"/>
      <c r="BH121" s="38"/>
      <c r="BI121" s="38"/>
      <c r="BJ121" s="38"/>
      <c r="BK121" s="38"/>
      <c r="BL121" s="38"/>
      <c r="BM121" s="38"/>
      <c r="BN121" s="38"/>
      <c r="BO121" s="38"/>
      <c r="BP121" s="38"/>
      <c r="BQ121" s="38"/>
      <c r="BR121" s="38"/>
      <c r="BS121" s="38"/>
      <c r="BT121" s="38"/>
      <c r="BU121" s="38"/>
      <c r="BV121" s="38"/>
      <c r="BW121" s="38"/>
      <c r="BX121" s="38"/>
      <c r="BY121" s="38"/>
      <c r="BZ121" s="38"/>
      <c r="CA121" s="38"/>
      <c r="CB121" s="38"/>
      <c r="CC121" s="38"/>
      <c r="CD121" s="38"/>
      <c r="CE121" s="38"/>
      <c r="CF121" s="38"/>
      <c r="CG121" s="38"/>
      <c r="CH121" s="38"/>
      <c r="CI121" s="38"/>
      <c r="CJ121" s="38"/>
      <c r="CK121" s="38"/>
      <c r="CL121" s="38"/>
      <c r="CM121" s="38"/>
      <c r="CN121" s="38"/>
      <c r="CO121" s="38"/>
      <c r="CP121" s="38"/>
      <c r="CQ121" s="38"/>
      <c r="CR121" s="38"/>
      <c r="CS121" s="38"/>
      <c r="CT121" s="38"/>
      <c r="CU121" s="38"/>
      <c r="CV121" s="38"/>
      <c r="CW121" s="38"/>
      <c r="CX121" s="38"/>
      <c r="CY121" s="38"/>
      <c r="CZ121" s="38"/>
      <c r="DA121" s="38"/>
      <c r="DB121" s="38"/>
      <c r="DC121" s="38"/>
      <c r="DD121" s="38"/>
      <c r="DE121" s="38"/>
      <c r="DF121" s="38"/>
      <c r="DG121" s="38"/>
      <c r="DH121" s="38"/>
      <c r="DI121" s="38"/>
      <c r="DJ121" s="38"/>
      <c r="DK121" s="38"/>
      <c r="DL121" s="38"/>
      <c r="DM121" s="38"/>
      <c r="DN121" s="38"/>
      <c r="DO121" s="38"/>
      <c r="DP121" s="38"/>
      <c r="DQ121" s="38"/>
      <c r="DR121" s="38"/>
      <c r="DS121" s="38"/>
      <c r="DT121" s="38"/>
      <c r="DU121" s="38"/>
      <c r="DV121" s="38"/>
      <c r="DW121" s="38"/>
      <c r="DX121" s="38"/>
      <c r="DY121" s="38"/>
      <c r="DZ121" s="38"/>
      <c r="EA121" s="38"/>
      <c r="EB121" s="38"/>
      <c r="EC121" s="38"/>
      <c r="ED121" s="38"/>
      <c r="EE121" s="38"/>
      <c r="EF121" s="38"/>
      <c r="EG121" s="38"/>
      <c r="EH121" s="38"/>
      <c r="EI121" s="38"/>
      <c r="EJ121" s="38"/>
      <c r="EK121" s="38"/>
      <c r="EL121" s="38"/>
      <c r="EM121" s="38"/>
    </row>
    <row r="122" spans="2:143" x14ac:dyDescent="0.3">
      <c r="B122" s="38"/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38"/>
      <c r="AK122" s="38"/>
      <c r="AL122" s="38"/>
      <c r="AM122" s="38"/>
      <c r="AN122" s="38"/>
      <c r="AO122" s="38"/>
      <c r="AP122" s="38"/>
      <c r="AQ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8"/>
      <c r="BH122" s="38"/>
      <c r="BI122" s="38"/>
      <c r="BJ122" s="38"/>
      <c r="BK122" s="38"/>
      <c r="BL122" s="38"/>
      <c r="BM122" s="38"/>
      <c r="BN122" s="38"/>
      <c r="BO122" s="38"/>
      <c r="BP122" s="38"/>
      <c r="BQ122" s="38"/>
      <c r="BR122" s="38"/>
      <c r="BS122" s="38"/>
      <c r="BT122" s="38"/>
      <c r="BU122" s="38"/>
      <c r="BV122" s="38"/>
      <c r="BW122" s="38"/>
      <c r="BX122" s="38"/>
      <c r="BY122" s="38"/>
      <c r="BZ122" s="38"/>
      <c r="CA122" s="38"/>
      <c r="CB122" s="38"/>
      <c r="CC122" s="38"/>
      <c r="CD122" s="38"/>
      <c r="CE122" s="38"/>
      <c r="CF122" s="38"/>
      <c r="CG122" s="38"/>
      <c r="CH122" s="38"/>
      <c r="CI122" s="38"/>
      <c r="CJ122" s="38"/>
      <c r="CK122" s="38"/>
      <c r="CL122" s="38"/>
      <c r="CM122" s="38"/>
      <c r="CN122" s="38"/>
      <c r="CO122" s="38"/>
      <c r="CP122" s="38"/>
      <c r="CQ122" s="38"/>
      <c r="CR122" s="38"/>
      <c r="CS122" s="38"/>
      <c r="CT122" s="38"/>
      <c r="CU122" s="38"/>
      <c r="CV122" s="38"/>
      <c r="CW122" s="38"/>
      <c r="CX122" s="38"/>
      <c r="CY122" s="38"/>
      <c r="CZ122" s="38"/>
      <c r="DA122" s="38"/>
      <c r="DB122" s="38"/>
      <c r="DC122" s="38"/>
      <c r="DD122" s="38"/>
      <c r="DE122" s="38"/>
      <c r="DF122" s="38"/>
      <c r="DG122" s="38"/>
      <c r="DH122" s="38"/>
      <c r="DI122" s="38"/>
      <c r="DJ122" s="38"/>
      <c r="DK122" s="38"/>
      <c r="DL122" s="38"/>
      <c r="DM122" s="38"/>
      <c r="DN122" s="38"/>
      <c r="DO122" s="38"/>
      <c r="DP122" s="38"/>
      <c r="DQ122" s="38"/>
      <c r="DR122" s="38"/>
      <c r="DS122" s="38"/>
      <c r="DT122" s="38"/>
      <c r="DU122" s="38"/>
      <c r="DV122" s="38"/>
      <c r="DW122" s="38"/>
      <c r="DX122" s="38"/>
      <c r="DY122" s="38"/>
      <c r="DZ122" s="38"/>
      <c r="EA122" s="38"/>
      <c r="EB122" s="38"/>
      <c r="EC122" s="38"/>
      <c r="ED122" s="38"/>
      <c r="EE122" s="38"/>
      <c r="EF122" s="38"/>
      <c r="EG122" s="38"/>
      <c r="EH122" s="38"/>
      <c r="EI122" s="38"/>
      <c r="EJ122" s="38"/>
      <c r="EK122" s="38"/>
      <c r="EL122" s="38"/>
      <c r="EM122" s="38"/>
    </row>
    <row r="123" spans="2:143" x14ac:dyDescent="0.3">
      <c r="B123" s="38"/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  <c r="BP123" s="38"/>
      <c r="BQ123" s="38"/>
      <c r="BR123" s="38"/>
      <c r="BS123" s="38"/>
      <c r="BT123" s="38"/>
      <c r="BU123" s="38"/>
      <c r="BV123" s="38"/>
      <c r="BW123" s="38"/>
      <c r="BX123" s="38"/>
      <c r="BY123" s="38"/>
      <c r="BZ123" s="38"/>
      <c r="CA123" s="38"/>
      <c r="CB123" s="38"/>
      <c r="CC123" s="38"/>
      <c r="CD123" s="38"/>
      <c r="CE123" s="38"/>
      <c r="CF123" s="38"/>
      <c r="CG123" s="38"/>
      <c r="CH123" s="38"/>
      <c r="CI123" s="38"/>
      <c r="CJ123" s="38"/>
      <c r="CK123" s="38"/>
      <c r="CL123" s="38"/>
      <c r="CM123" s="38"/>
      <c r="CN123" s="38"/>
      <c r="CO123" s="38"/>
      <c r="CP123" s="38"/>
      <c r="CQ123" s="38"/>
      <c r="CR123" s="38"/>
      <c r="CS123" s="38"/>
      <c r="CT123" s="38"/>
      <c r="CU123" s="38"/>
      <c r="CV123" s="38"/>
      <c r="CW123" s="38"/>
      <c r="CX123" s="38"/>
      <c r="CY123" s="38"/>
      <c r="CZ123" s="38"/>
      <c r="DA123" s="38"/>
      <c r="DB123" s="38"/>
      <c r="DC123" s="38"/>
      <c r="DD123" s="38"/>
      <c r="DE123" s="38"/>
      <c r="DF123" s="38"/>
      <c r="DG123" s="38"/>
      <c r="DH123" s="38"/>
      <c r="DI123" s="38"/>
      <c r="DJ123" s="38"/>
      <c r="DK123" s="38"/>
      <c r="DL123" s="38"/>
      <c r="DM123" s="38"/>
      <c r="DN123" s="38"/>
      <c r="DO123" s="38"/>
      <c r="DP123" s="38"/>
      <c r="DQ123" s="38"/>
      <c r="DR123" s="38"/>
      <c r="DS123" s="38"/>
      <c r="DT123" s="38"/>
      <c r="DU123" s="38"/>
      <c r="DV123" s="38"/>
      <c r="DW123" s="38"/>
      <c r="DX123" s="38"/>
      <c r="DY123" s="38"/>
      <c r="DZ123" s="38"/>
      <c r="EA123" s="38"/>
      <c r="EB123" s="38"/>
      <c r="EC123" s="38"/>
      <c r="ED123" s="38"/>
      <c r="EE123" s="38"/>
      <c r="EF123" s="38"/>
      <c r="EG123" s="38"/>
      <c r="EH123" s="38"/>
      <c r="EI123" s="38"/>
      <c r="EJ123" s="38"/>
      <c r="EK123" s="38"/>
      <c r="EL123" s="38"/>
      <c r="EM123" s="38"/>
    </row>
    <row r="124" spans="2:143" x14ac:dyDescent="0.3">
      <c r="B124" s="38"/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38"/>
      <c r="AK124" s="38"/>
      <c r="AL124" s="38"/>
      <c r="AM124" s="38"/>
      <c r="AN124" s="38"/>
      <c r="AO124" s="38"/>
      <c r="AP124" s="38"/>
      <c r="AQ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8"/>
      <c r="BH124" s="38"/>
      <c r="BI124" s="38"/>
      <c r="BJ124" s="38"/>
      <c r="BK124" s="38"/>
      <c r="BL124" s="38"/>
      <c r="BM124" s="38"/>
      <c r="BN124" s="38"/>
      <c r="BO124" s="38"/>
      <c r="BP124" s="38"/>
      <c r="BQ124" s="38"/>
      <c r="BR124" s="38"/>
      <c r="BS124" s="38"/>
      <c r="BT124" s="38"/>
      <c r="BU124" s="38"/>
      <c r="BV124" s="38"/>
      <c r="BW124" s="38"/>
      <c r="BX124" s="38"/>
      <c r="BY124" s="38"/>
      <c r="BZ124" s="38"/>
      <c r="CA124" s="38"/>
      <c r="CB124" s="38"/>
      <c r="CC124" s="38"/>
      <c r="CD124" s="38"/>
      <c r="CE124" s="38"/>
      <c r="CF124" s="38"/>
      <c r="CG124" s="38"/>
      <c r="CH124" s="38"/>
      <c r="CI124" s="38"/>
      <c r="CJ124" s="38"/>
      <c r="CK124" s="38"/>
      <c r="CL124" s="38"/>
      <c r="CM124" s="38"/>
      <c r="CN124" s="38"/>
      <c r="CO124" s="38"/>
      <c r="CP124" s="38"/>
      <c r="CQ124" s="38"/>
      <c r="CR124" s="38"/>
      <c r="CS124" s="38"/>
      <c r="CT124" s="38"/>
      <c r="CU124" s="38"/>
      <c r="CV124" s="38"/>
      <c r="CW124" s="38"/>
      <c r="CX124" s="38"/>
      <c r="CY124" s="38"/>
      <c r="CZ124" s="38"/>
      <c r="DA124" s="38"/>
      <c r="DB124" s="38"/>
      <c r="DC124" s="38"/>
      <c r="DD124" s="38"/>
      <c r="DE124" s="38"/>
      <c r="DF124" s="38"/>
      <c r="DG124" s="38"/>
      <c r="DH124" s="38"/>
      <c r="DI124" s="38"/>
      <c r="DJ124" s="38"/>
      <c r="DK124" s="38"/>
      <c r="DL124" s="38"/>
      <c r="DM124" s="38"/>
      <c r="DN124" s="38"/>
      <c r="DO124" s="38"/>
      <c r="DP124" s="38"/>
      <c r="DQ124" s="38"/>
      <c r="DR124" s="38"/>
      <c r="DS124" s="38"/>
      <c r="DT124" s="38"/>
      <c r="DU124" s="38"/>
      <c r="DV124" s="38"/>
      <c r="DW124" s="38"/>
      <c r="DX124" s="38"/>
      <c r="DY124" s="38"/>
      <c r="DZ124" s="38"/>
      <c r="EA124" s="38"/>
      <c r="EB124" s="38"/>
      <c r="EC124" s="38"/>
      <c r="ED124" s="38"/>
      <c r="EE124" s="38"/>
      <c r="EF124" s="38"/>
      <c r="EG124" s="38"/>
      <c r="EH124" s="38"/>
      <c r="EI124" s="38"/>
      <c r="EJ124" s="38"/>
      <c r="EK124" s="38"/>
      <c r="EL124" s="38"/>
      <c r="EM124" s="38"/>
    </row>
    <row r="125" spans="2:143" x14ac:dyDescent="0.3">
      <c r="B125" s="38"/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38"/>
      <c r="AK125" s="38"/>
      <c r="AL125" s="38"/>
      <c r="AM125" s="38"/>
      <c r="AN125" s="38"/>
      <c r="AO125" s="38"/>
      <c r="AP125" s="38"/>
      <c r="AQ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8"/>
      <c r="BH125" s="38"/>
      <c r="BI125" s="38"/>
      <c r="BJ125" s="38"/>
      <c r="BK125" s="38"/>
      <c r="BL125" s="38"/>
      <c r="BM125" s="38"/>
      <c r="BN125" s="38"/>
      <c r="BO125" s="38"/>
      <c r="BP125" s="38"/>
      <c r="BQ125" s="38"/>
      <c r="BR125" s="38"/>
      <c r="BS125" s="38"/>
      <c r="BT125" s="38"/>
      <c r="BU125" s="38"/>
      <c r="BV125" s="38"/>
      <c r="BW125" s="38"/>
      <c r="BX125" s="38"/>
      <c r="BY125" s="38"/>
      <c r="BZ125" s="38"/>
      <c r="CA125" s="38"/>
      <c r="CB125" s="38"/>
      <c r="CC125" s="38"/>
      <c r="CD125" s="38"/>
      <c r="CE125" s="38"/>
      <c r="CF125" s="38"/>
      <c r="CG125" s="38"/>
      <c r="CH125" s="38"/>
      <c r="CI125" s="38"/>
      <c r="CJ125" s="38"/>
      <c r="CK125" s="38"/>
      <c r="CL125" s="38"/>
      <c r="CM125" s="38"/>
      <c r="CN125" s="38"/>
      <c r="CO125" s="38"/>
      <c r="CP125" s="38"/>
      <c r="CQ125" s="38"/>
      <c r="CR125" s="38"/>
      <c r="CS125" s="38"/>
      <c r="CT125" s="38"/>
      <c r="CU125" s="38"/>
      <c r="CV125" s="38"/>
      <c r="CW125" s="38"/>
      <c r="CX125" s="38"/>
      <c r="CY125" s="38"/>
      <c r="CZ125" s="38"/>
      <c r="DA125" s="38"/>
      <c r="DB125" s="38"/>
      <c r="DC125" s="38"/>
      <c r="DD125" s="38"/>
      <c r="DE125" s="38"/>
      <c r="DF125" s="38"/>
      <c r="DG125" s="38"/>
      <c r="DH125" s="38"/>
      <c r="DI125" s="38"/>
      <c r="DJ125" s="38"/>
      <c r="DK125" s="38"/>
      <c r="DL125" s="38"/>
      <c r="DM125" s="38"/>
      <c r="DN125" s="38"/>
      <c r="DO125" s="38"/>
      <c r="DP125" s="38"/>
      <c r="DQ125" s="38"/>
      <c r="DR125" s="38"/>
      <c r="DS125" s="38"/>
      <c r="DT125" s="38"/>
      <c r="DU125" s="38"/>
      <c r="DV125" s="38"/>
      <c r="DW125" s="38"/>
      <c r="DX125" s="38"/>
      <c r="DY125" s="38"/>
      <c r="DZ125" s="38"/>
      <c r="EA125" s="38"/>
      <c r="EB125" s="38"/>
      <c r="EC125" s="38"/>
      <c r="ED125" s="38"/>
      <c r="EE125" s="38"/>
      <c r="EF125" s="38"/>
      <c r="EG125" s="38"/>
      <c r="EH125" s="38"/>
      <c r="EI125" s="38"/>
      <c r="EJ125" s="38"/>
      <c r="EK125" s="38"/>
      <c r="EL125" s="38"/>
      <c r="EM125" s="38"/>
    </row>
    <row r="126" spans="2:143" x14ac:dyDescent="0.3">
      <c r="B126" s="38"/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38"/>
      <c r="AK126" s="38"/>
      <c r="AL126" s="38"/>
      <c r="AM126" s="38"/>
      <c r="AN126" s="38"/>
      <c r="AO126" s="38"/>
      <c r="AP126" s="38"/>
      <c r="AQ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8"/>
      <c r="BH126" s="38"/>
      <c r="BI126" s="38"/>
      <c r="BJ126" s="38"/>
      <c r="BK126" s="38"/>
      <c r="BL126" s="38"/>
      <c r="BM126" s="38"/>
      <c r="BN126" s="38"/>
      <c r="BO126" s="38"/>
      <c r="BP126" s="38"/>
      <c r="BQ126" s="38"/>
      <c r="BR126" s="38"/>
      <c r="BS126" s="38"/>
      <c r="BT126" s="38"/>
      <c r="BU126" s="38"/>
      <c r="BV126" s="38"/>
      <c r="BW126" s="38"/>
      <c r="BX126" s="38"/>
      <c r="BY126" s="38"/>
      <c r="BZ126" s="38"/>
      <c r="CA126" s="38"/>
      <c r="CB126" s="38"/>
      <c r="CC126" s="38"/>
      <c r="CD126" s="38"/>
      <c r="CE126" s="38"/>
      <c r="CF126" s="38"/>
      <c r="CG126" s="38"/>
      <c r="CH126" s="38"/>
      <c r="CI126" s="38"/>
      <c r="CJ126" s="38"/>
      <c r="CK126" s="38"/>
      <c r="CL126" s="38"/>
      <c r="CM126" s="38"/>
      <c r="CN126" s="38"/>
      <c r="CO126" s="38"/>
      <c r="CP126" s="38"/>
      <c r="CQ126" s="38"/>
      <c r="CR126" s="38"/>
      <c r="CS126" s="38"/>
      <c r="CT126" s="38"/>
      <c r="CU126" s="38"/>
      <c r="CV126" s="38"/>
      <c r="CW126" s="38"/>
      <c r="CX126" s="38"/>
      <c r="CY126" s="38"/>
      <c r="CZ126" s="38"/>
      <c r="DA126" s="38"/>
      <c r="DB126" s="38"/>
      <c r="DC126" s="38"/>
      <c r="DD126" s="38"/>
      <c r="DE126" s="38"/>
      <c r="DF126" s="38"/>
      <c r="DG126" s="38"/>
      <c r="DH126" s="38"/>
      <c r="DI126" s="38"/>
      <c r="DJ126" s="38"/>
      <c r="DK126" s="38"/>
      <c r="DL126" s="38"/>
      <c r="DM126" s="38"/>
      <c r="DN126" s="38"/>
      <c r="DO126" s="38"/>
      <c r="DP126" s="38"/>
      <c r="DQ126" s="38"/>
      <c r="DR126" s="38"/>
      <c r="DS126" s="38"/>
      <c r="DT126" s="38"/>
      <c r="DU126" s="38"/>
      <c r="DV126" s="38"/>
      <c r="DW126" s="38"/>
      <c r="DX126" s="38"/>
      <c r="DY126" s="38"/>
      <c r="DZ126" s="38"/>
      <c r="EA126" s="38"/>
      <c r="EB126" s="38"/>
      <c r="EC126" s="38"/>
      <c r="ED126" s="38"/>
      <c r="EE126" s="38"/>
      <c r="EF126" s="38"/>
      <c r="EG126" s="38"/>
      <c r="EH126" s="38"/>
      <c r="EI126" s="38"/>
      <c r="EJ126" s="38"/>
      <c r="EK126" s="38"/>
      <c r="EL126" s="38"/>
      <c r="EM126" s="38"/>
    </row>
    <row r="127" spans="2:143" x14ac:dyDescent="0.3">
      <c r="B127" s="38"/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38"/>
      <c r="AK127" s="38"/>
      <c r="AL127" s="38"/>
      <c r="AM127" s="38"/>
      <c r="AN127" s="38"/>
      <c r="AO127" s="38"/>
      <c r="AP127" s="38"/>
      <c r="AQ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8"/>
      <c r="BH127" s="38"/>
      <c r="BI127" s="38"/>
      <c r="BJ127" s="38"/>
      <c r="BK127" s="38"/>
      <c r="BL127" s="38"/>
      <c r="BM127" s="38"/>
      <c r="BN127" s="38"/>
      <c r="BO127" s="38"/>
      <c r="BP127" s="38"/>
      <c r="BQ127" s="38"/>
      <c r="BR127" s="38"/>
      <c r="BS127" s="38"/>
      <c r="BT127" s="38"/>
      <c r="BU127" s="38"/>
      <c r="BV127" s="38"/>
      <c r="BW127" s="38"/>
      <c r="BX127" s="38"/>
      <c r="BY127" s="38"/>
      <c r="BZ127" s="38"/>
      <c r="CA127" s="38"/>
      <c r="CB127" s="38"/>
      <c r="CC127" s="38"/>
      <c r="CD127" s="38"/>
      <c r="CE127" s="38"/>
      <c r="CF127" s="38"/>
      <c r="CG127" s="38"/>
      <c r="CH127" s="38"/>
      <c r="CI127" s="38"/>
      <c r="CJ127" s="38"/>
      <c r="CK127" s="38"/>
      <c r="CL127" s="38"/>
      <c r="CM127" s="38"/>
      <c r="CN127" s="38"/>
      <c r="CO127" s="38"/>
      <c r="CP127" s="38"/>
      <c r="CQ127" s="38"/>
      <c r="CR127" s="38"/>
      <c r="CS127" s="38"/>
      <c r="CT127" s="38"/>
      <c r="CU127" s="38"/>
      <c r="CV127" s="38"/>
      <c r="CW127" s="38"/>
      <c r="CX127" s="38"/>
      <c r="CY127" s="38"/>
      <c r="CZ127" s="38"/>
      <c r="DA127" s="38"/>
      <c r="DB127" s="38"/>
      <c r="DC127" s="38"/>
      <c r="DD127" s="38"/>
      <c r="DE127" s="38"/>
      <c r="DF127" s="38"/>
      <c r="DG127" s="38"/>
      <c r="DH127" s="38"/>
      <c r="DI127" s="38"/>
      <c r="DJ127" s="38"/>
      <c r="DK127" s="38"/>
      <c r="DL127" s="38"/>
      <c r="DM127" s="38"/>
      <c r="DN127" s="38"/>
      <c r="DO127" s="38"/>
      <c r="DP127" s="38"/>
      <c r="DQ127" s="38"/>
      <c r="DR127" s="38"/>
      <c r="DS127" s="38"/>
      <c r="DT127" s="38"/>
      <c r="DU127" s="38"/>
      <c r="DV127" s="38"/>
      <c r="DW127" s="38"/>
      <c r="DX127" s="38"/>
      <c r="DY127" s="38"/>
      <c r="DZ127" s="38"/>
      <c r="EA127" s="38"/>
      <c r="EB127" s="38"/>
      <c r="EC127" s="38"/>
      <c r="ED127" s="38"/>
      <c r="EE127" s="38"/>
      <c r="EF127" s="38"/>
      <c r="EG127" s="38"/>
      <c r="EH127" s="38"/>
      <c r="EI127" s="38"/>
      <c r="EJ127" s="38"/>
      <c r="EK127" s="38"/>
      <c r="EL127" s="38"/>
      <c r="EM127" s="38"/>
    </row>
    <row r="128" spans="2:143" x14ac:dyDescent="0.3">
      <c r="B128" s="38"/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38"/>
      <c r="AK128" s="38"/>
      <c r="AL128" s="38"/>
      <c r="AM128" s="38"/>
      <c r="AN128" s="38"/>
      <c r="AO128" s="38"/>
      <c r="AP128" s="38"/>
      <c r="AQ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8"/>
      <c r="BH128" s="38"/>
      <c r="BI128" s="38"/>
      <c r="BJ128" s="38"/>
      <c r="BK128" s="38"/>
      <c r="BL128" s="38"/>
      <c r="BM128" s="38"/>
      <c r="BN128" s="38"/>
      <c r="BO128" s="38"/>
      <c r="BP128" s="38"/>
      <c r="BQ128" s="38"/>
      <c r="BR128" s="38"/>
      <c r="BS128" s="38"/>
      <c r="BT128" s="38"/>
      <c r="BU128" s="38"/>
      <c r="BV128" s="38"/>
      <c r="BW128" s="38"/>
      <c r="BX128" s="38"/>
      <c r="BY128" s="38"/>
      <c r="BZ128" s="38"/>
      <c r="CA128" s="38"/>
      <c r="CB128" s="38"/>
      <c r="CC128" s="38"/>
      <c r="CD128" s="38"/>
      <c r="CE128" s="38"/>
      <c r="CF128" s="38"/>
      <c r="CG128" s="38"/>
      <c r="CH128" s="38"/>
      <c r="CI128" s="38"/>
      <c r="CJ128" s="38"/>
      <c r="CK128" s="38"/>
      <c r="CL128" s="38"/>
      <c r="CM128" s="38"/>
      <c r="CN128" s="38"/>
      <c r="CO128" s="38"/>
      <c r="CP128" s="38"/>
      <c r="CQ128" s="38"/>
      <c r="CR128" s="38"/>
      <c r="CS128" s="38"/>
      <c r="CT128" s="38"/>
      <c r="CU128" s="38"/>
      <c r="CV128" s="38"/>
      <c r="CW128" s="38"/>
      <c r="CX128" s="38"/>
      <c r="CY128" s="38"/>
      <c r="CZ128" s="38"/>
      <c r="DA128" s="38"/>
      <c r="DB128" s="38"/>
      <c r="DC128" s="38"/>
      <c r="DD128" s="38"/>
      <c r="DE128" s="38"/>
      <c r="DF128" s="38"/>
      <c r="DG128" s="38"/>
      <c r="DH128" s="38"/>
      <c r="DI128" s="38"/>
      <c r="DJ128" s="38"/>
      <c r="DK128" s="38"/>
      <c r="DL128" s="38"/>
      <c r="DM128" s="38"/>
      <c r="DN128" s="38"/>
      <c r="DO128" s="38"/>
      <c r="DP128" s="38"/>
      <c r="DQ128" s="38"/>
      <c r="DR128" s="38"/>
      <c r="DS128" s="38"/>
      <c r="DT128" s="38"/>
      <c r="DU128" s="38"/>
      <c r="DV128" s="38"/>
      <c r="DW128" s="38"/>
      <c r="DX128" s="38"/>
      <c r="DY128" s="38"/>
      <c r="DZ128" s="38"/>
      <c r="EA128" s="38"/>
      <c r="EB128" s="38"/>
      <c r="EC128" s="38"/>
      <c r="ED128" s="38"/>
      <c r="EE128" s="38"/>
      <c r="EF128" s="38"/>
      <c r="EG128" s="38"/>
      <c r="EH128" s="38"/>
      <c r="EI128" s="38"/>
      <c r="EJ128" s="38"/>
      <c r="EK128" s="38"/>
      <c r="EL128" s="38"/>
      <c r="EM128" s="38"/>
    </row>
    <row r="129" spans="2:143" x14ac:dyDescent="0.3"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8"/>
      <c r="BH129" s="38"/>
      <c r="BI129" s="38"/>
      <c r="BJ129" s="38"/>
      <c r="BK129" s="38"/>
      <c r="BL129" s="38"/>
      <c r="BM129" s="38"/>
      <c r="BN129" s="38"/>
      <c r="BO129" s="38"/>
      <c r="BP129" s="38"/>
      <c r="BQ129" s="38"/>
      <c r="BR129" s="38"/>
      <c r="BS129" s="38"/>
      <c r="BT129" s="38"/>
      <c r="BU129" s="38"/>
      <c r="BV129" s="38"/>
      <c r="BW129" s="38"/>
      <c r="BX129" s="38"/>
      <c r="BY129" s="38"/>
      <c r="BZ129" s="38"/>
      <c r="CA129" s="38"/>
      <c r="CB129" s="38"/>
      <c r="CC129" s="38"/>
      <c r="CD129" s="38"/>
      <c r="CE129" s="38"/>
      <c r="CF129" s="38"/>
      <c r="CG129" s="38"/>
      <c r="CH129" s="38"/>
      <c r="CI129" s="38"/>
      <c r="CJ129" s="38"/>
      <c r="CK129" s="38"/>
      <c r="CL129" s="38"/>
      <c r="CM129" s="38"/>
      <c r="CN129" s="38"/>
      <c r="CO129" s="38"/>
      <c r="CP129" s="38"/>
      <c r="CQ129" s="38"/>
      <c r="CR129" s="38"/>
      <c r="CS129" s="38"/>
      <c r="CT129" s="38"/>
      <c r="CU129" s="38"/>
      <c r="CV129" s="38"/>
      <c r="CW129" s="38"/>
      <c r="CX129" s="38"/>
      <c r="CY129" s="38"/>
      <c r="CZ129" s="38"/>
      <c r="DA129" s="38"/>
      <c r="DB129" s="38"/>
      <c r="DC129" s="38"/>
      <c r="DD129" s="38"/>
      <c r="DE129" s="38"/>
      <c r="DF129" s="38"/>
      <c r="DG129" s="38"/>
      <c r="DH129" s="38"/>
      <c r="DI129" s="38"/>
      <c r="DJ129" s="38"/>
      <c r="DK129" s="38"/>
      <c r="DL129" s="38"/>
      <c r="DM129" s="38"/>
      <c r="DN129" s="38"/>
      <c r="DO129" s="38"/>
      <c r="DP129" s="38"/>
      <c r="DQ129" s="38"/>
      <c r="DR129" s="38"/>
      <c r="DS129" s="38"/>
      <c r="DT129" s="38"/>
      <c r="DU129" s="38"/>
      <c r="DV129" s="38"/>
      <c r="DW129" s="38"/>
      <c r="DX129" s="38"/>
      <c r="DY129" s="38"/>
      <c r="DZ129" s="38"/>
      <c r="EA129" s="38"/>
      <c r="EB129" s="38"/>
      <c r="EC129" s="38"/>
      <c r="ED129" s="38"/>
      <c r="EE129" s="38"/>
      <c r="EF129" s="38"/>
      <c r="EG129" s="38"/>
      <c r="EH129" s="38"/>
      <c r="EI129" s="38"/>
      <c r="EJ129" s="38"/>
      <c r="EK129" s="38"/>
      <c r="EL129" s="38"/>
      <c r="EM129" s="38"/>
    </row>
    <row r="130" spans="2:143" x14ac:dyDescent="0.3">
      <c r="B130" s="38"/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8"/>
      <c r="BH130" s="38"/>
      <c r="BI130" s="38"/>
      <c r="BJ130" s="38"/>
      <c r="BK130" s="38"/>
      <c r="BL130" s="38"/>
      <c r="BM130" s="38"/>
      <c r="BN130" s="38"/>
      <c r="BO130" s="38"/>
      <c r="BP130" s="38"/>
      <c r="BQ130" s="38"/>
      <c r="BR130" s="38"/>
      <c r="BS130" s="38"/>
      <c r="BT130" s="38"/>
      <c r="BU130" s="38"/>
      <c r="BV130" s="38"/>
      <c r="BW130" s="38"/>
      <c r="BX130" s="38"/>
      <c r="BY130" s="38"/>
      <c r="BZ130" s="38"/>
      <c r="CA130" s="38"/>
      <c r="CB130" s="38"/>
      <c r="CC130" s="38"/>
      <c r="CD130" s="38"/>
      <c r="CE130" s="38"/>
      <c r="CF130" s="38"/>
      <c r="CG130" s="38"/>
      <c r="CH130" s="38"/>
      <c r="CI130" s="38"/>
      <c r="CJ130" s="38"/>
      <c r="CK130" s="38"/>
      <c r="CL130" s="38"/>
      <c r="CM130" s="38"/>
      <c r="CN130" s="38"/>
      <c r="CO130" s="38"/>
      <c r="CP130" s="38"/>
      <c r="CQ130" s="38"/>
      <c r="CR130" s="38"/>
      <c r="CS130" s="38"/>
      <c r="CT130" s="38"/>
      <c r="CU130" s="38"/>
      <c r="CV130" s="38"/>
      <c r="CW130" s="38"/>
      <c r="CX130" s="38"/>
      <c r="CY130" s="38"/>
      <c r="CZ130" s="38"/>
      <c r="DA130" s="38"/>
      <c r="DB130" s="38"/>
      <c r="DC130" s="38"/>
      <c r="DD130" s="38"/>
      <c r="DE130" s="38"/>
      <c r="DF130" s="38"/>
      <c r="DG130" s="38"/>
      <c r="DH130" s="38"/>
      <c r="DI130" s="38"/>
      <c r="DJ130" s="38"/>
      <c r="DK130" s="38"/>
      <c r="DL130" s="38"/>
      <c r="DM130" s="38"/>
      <c r="DN130" s="38"/>
      <c r="DO130" s="38"/>
      <c r="DP130" s="38"/>
      <c r="DQ130" s="38"/>
      <c r="DR130" s="38"/>
      <c r="DS130" s="38"/>
      <c r="DT130" s="38"/>
      <c r="DU130" s="38"/>
      <c r="DV130" s="38"/>
      <c r="DW130" s="38"/>
      <c r="DX130" s="38"/>
      <c r="DY130" s="38"/>
      <c r="DZ130" s="38"/>
      <c r="EA130" s="38"/>
      <c r="EB130" s="38"/>
      <c r="EC130" s="38"/>
      <c r="ED130" s="38"/>
      <c r="EE130" s="38"/>
      <c r="EF130" s="38"/>
      <c r="EG130" s="38"/>
      <c r="EH130" s="38"/>
      <c r="EI130" s="38"/>
      <c r="EJ130" s="38"/>
      <c r="EK130" s="38"/>
      <c r="EL130" s="38"/>
      <c r="EM130" s="38"/>
    </row>
    <row r="131" spans="2:143" x14ac:dyDescent="0.3">
      <c r="B131" s="38"/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8"/>
      <c r="BH131" s="38"/>
      <c r="BI131" s="38"/>
      <c r="BJ131" s="38"/>
      <c r="BK131" s="38"/>
      <c r="BL131" s="38"/>
      <c r="BM131" s="38"/>
      <c r="BN131" s="38"/>
      <c r="BO131" s="38"/>
      <c r="BP131" s="38"/>
      <c r="BQ131" s="38"/>
      <c r="BR131" s="38"/>
      <c r="BS131" s="38"/>
      <c r="BT131" s="38"/>
      <c r="BU131" s="38"/>
      <c r="BV131" s="38"/>
      <c r="BW131" s="38"/>
      <c r="BX131" s="38"/>
      <c r="BY131" s="38"/>
      <c r="BZ131" s="38"/>
      <c r="CA131" s="38"/>
      <c r="CB131" s="38"/>
      <c r="CC131" s="38"/>
      <c r="CD131" s="38"/>
      <c r="CE131" s="38"/>
      <c r="CF131" s="38"/>
      <c r="CG131" s="38"/>
      <c r="CH131" s="38"/>
      <c r="CI131" s="38"/>
      <c r="CJ131" s="38"/>
      <c r="CK131" s="38"/>
      <c r="CL131" s="38"/>
      <c r="CM131" s="38"/>
      <c r="CN131" s="38"/>
      <c r="CO131" s="38"/>
      <c r="CP131" s="38"/>
      <c r="CQ131" s="38"/>
      <c r="CR131" s="38"/>
      <c r="CS131" s="38"/>
      <c r="CT131" s="38"/>
      <c r="CU131" s="38"/>
      <c r="CV131" s="38"/>
      <c r="CW131" s="38"/>
      <c r="CX131" s="38"/>
      <c r="CY131" s="38"/>
      <c r="CZ131" s="38"/>
      <c r="DA131" s="38"/>
      <c r="DB131" s="38"/>
      <c r="DC131" s="38"/>
      <c r="DD131" s="38"/>
      <c r="DE131" s="38"/>
      <c r="DF131" s="38"/>
      <c r="DG131" s="38"/>
      <c r="DH131" s="38"/>
      <c r="DI131" s="38"/>
      <c r="DJ131" s="38"/>
      <c r="DK131" s="38"/>
      <c r="DL131" s="38"/>
      <c r="DM131" s="38"/>
      <c r="DN131" s="38"/>
      <c r="DO131" s="38"/>
      <c r="DP131" s="38"/>
      <c r="DQ131" s="38"/>
      <c r="DR131" s="38"/>
      <c r="DS131" s="38"/>
      <c r="DT131" s="38"/>
      <c r="DU131" s="38"/>
      <c r="DV131" s="38"/>
      <c r="DW131" s="38"/>
      <c r="DX131" s="38"/>
      <c r="DY131" s="38"/>
      <c r="DZ131" s="38"/>
      <c r="EA131" s="38"/>
      <c r="EB131" s="38"/>
      <c r="EC131" s="38"/>
      <c r="ED131" s="38"/>
      <c r="EE131" s="38"/>
      <c r="EF131" s="38"/>
      <c r="EG131" s="38"/>
      <c r="EH131" s="38"/>
      <c r="EI131" s="38"/>
      <c r="EJ131" s="38"/>
      <c r="EK131" s="38"/>
      <c r="EL131" s="38"/>
      <c r="EM131" s="38"/>
    </row>
    <row r="132" spans="2:143" x14ac:dyDescent="0.3">
      <c r="B132" s="38"/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8"/>
      <c r="BH132" s="38"/>
      <c r="BI132" s="38"/>
      <c r="BJ132" s="38"/>
      <c r="BK132" s="38"/>
      <c r="BL132" s="38"/>
      <c r="BM132" s="38"/>
      <c r="BN132" s="38"/>
      <c r="BO132" s="38"/>
      <c r="BP132" s="38"/>
      <c r="BQ132" s="38"/>
      <c r="BR132" s="38"/>
      <c r="BS132" s="38"/>
      <c r="BT132" s="38"/>
      <c r="BU132" s="38"/>
      <c r="BV132" s="38"/>
      <c r="BW132" s="38"/>
      <c r="BX132" s="38"/>
      <c r="BY132" s="38"/>
      <c r="BZ132" s="38"/>
      <c r="CA132" s="38"/>
      <c r="CB132" s="38"/>
      <c r="CC132" s="38"/>
      <c r="CD132" s="38"/>
      <c r="CE132" s="38"/>
      <c r="CF132" s="38"/>
      <c r="CG132" s="38"/>
      <c r="CH132" s="38"/>
      <c r="CI132" s="38"/>
      <c r="CJ132" s="38"/>
      <c r="CK132" s="38"/>
      <c r="CL132" s="38"/>
      <c r="CM132" s="38"/>
      <c r="CN132" s="38"/>
      <c r="CO132" s="38"/>
      <c r="CP132" s="38"/>
      <c r="CQ132" s="38"/>
      <c r="CR132" s="38"/>
      <c r="CS132" s="38"/>
      <c r="CT132" s="38"/>
      <c r="CU132" s="38"/>
      <c r="CV132" s="38"/>
      <c r="CW132" s="38"/>
      <c r="CX132" s="38"/>
      <c r="CY132" s="38"/>
      <c r="CZ132" s="38"/>
      <c r="DA132" s="38"/>
      <c r="DB132" s="38"/>
      <c r="DC132" s="38"/>
      <c r="DD132" s="38"/>
      <c r="DE132" s="38"/>
      <c r="DF132" s="38"/>
      <c r="DG132" s="38"/>
      <c r="DH132" s="38"/>
      <c r="DI132" s="38"/>
      <c r="DJ132" s="38"/>
      <c r="DK132" s="38"/>
      <c r="DL132" s="38"/>
      <c r="DM132" s="38"/>
      <c r="DN132" s="38"/>
      <c r="DO132" s="38"/>
      <c r="DP132" s="38"/>
      <c r="DQ132" s="38"/>
      <c r="DR132" s="38"/>
      <c r="DS132" s="38"/>
      <c r="DT132" s="38"/>
      <c r="DU132" s="38"/>
      <c r="DV132" s="38"/>
      <c r="DW132" s="38"/>
      <c r="DX132" s="38"/>
      <c r="DY132" s="38"/>
      <c r="DZ132" s="38"/>
      <c r="EA132" s="38"/>
      <c r="EB132" s="38"/>
      <c r="EC132" s="38"/>
      <c r="ED132" s="38"/>
      <c r="EE132" s="38"/>
      <c r="EF132" s="38"/>
      <c r="EG132" s="38"/>
      <c r="EH132" s="38"/>
      <c r="EI132" s="38"/>
      <c r="EJ132" s="38"/>
      <c r="EK132" s="38"/>
      <c r="EL132" s="38"/>
      <c r="EM132" s="38"/>
    </row>
    <row r="133" spans="2:143" x14ac:dyDescent="0.3">
      <c r="B133" s="38"/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8"/>
      <c r="BH133" s="38"/>
      <c r="BI133" s="38"/>
      <c r="BJ133" s="38"/>
      <c r="BK133" s="38"/>
      <c r="BL133" s="38"/>
      <c r="BM133" s="38"/>
      <c r="BN133" s="38"/>
      <c r="BO133" s="38"/>
      <c r="BP133" s="38"/>
      <c r="BQ133" s="38"/>
      <c r="BR133" s="38"/>
      <c r="BS133" s="38"/>
      <c r="BT133" s="38"/>
      <c r="BU133" s="38"/>
      <c r="BV133" s="38"/>
      <c r="BW133" s="38"/>
      <c r="BX133" s="38"/>
      <c r="BY133" s="38"/>
      <c r="BZ133" s="38"/>
      <c r="CA133" s="38"/>
      <c r="CB133" s="38"/>
      <c r="CC133" s="38"/>
      <c r="CD133" s="38"/>
      <c r="CE133" s="38"/>
      <c r="CF133" s="38"/>
      <c r="CG133" s="38"/>
      <c r="CH133" s="38"/>
      <c r="CI133" s="38"/>
      <c r="CJ133" s="38"/>
      <c r="CK133" s="38"/>
      <c r="CL133" s="38"/>
      <c r="CM133" s="38"/>
      <c r="CN133" s="38"/>
      <c r="CO133" s="38"/>
      <c r="CP133" s="38"/>
      <c r="CQ133" s="38"/>
      <c r="CR133" s="38"/>
      <c r="CS133" s="38"/>
      <c r="CT133" s="38"/>
      <c r="CU133" s="38"/>
      <c r="CV133" s="38"/>
      <c r="CW133" s="38"/>
      <c r="CX133" s="38"/>
      <c r="CY133" s="38"/>
      <c r="CZ133" s="38"/>
      <c r="DA133" s="38"/>
      <c r="DB133" s="38"/>
      <c r="DC133" s="38"/>
      <c r="DD133" s="38"/>
      <c r="DE133" s="38"/>
      <c r="DF133" s="38"/>
      <c r="DG133" s="38"/>
      <c r="DH133" s="38"/>
      <c r="DI133" s="38"/>
      <c r="DJ133" s="38"/>
      <c r="DK133" s="38"/>
      <c r="DL133" s="38"/>
      <c r="DM133" s="38"/>
      <c r="DN133" s="38"/>
      <c r="DO133" s="38"/>
      <c r="DP133" s="38"/>
      <c r="DQ133" s="38"/>
      <c r="DR133" s="38"/>
      <c r="DS133" s="38"/>
      <c r="DT133" s="38"/>
      <c r="DU133" s="38"/>
      <c r="DV133" s="38"/>
      <c r="DW133" s="38"/>
      <c r="DX133" s="38"/>
      <c r="DY133" s="38"/>
      <c r="DZ133" s="38"/>
      <c r="EA133" s="38"/>
      <c r="EB133" s="38"/>
      <c r="EC133" s="38"/>
      <c r="ED133" s="38"/>
      <c r="EE133" s="38"/>
      <c r="EF133" s="38"/>
      <c r="EG133" s="38"/>
      <c r="EH133" s="38"/>
      <c r="EI133" s="38"/>
      <c r="EJ133" s="38"/>
      <c r="EK133" s="38"/>
      <c r="EL133" s="38"/>
      <c r="EM133" s="38"/>
    </row>
    <row r="134" spans="2:143" x14ac:dyDescent="0.3">
      <c r="B134" s="38"/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8"/>
      <c r="BH134" s="38"/>
      <c r="BI134" s="38"/>
      <c r="BJ134" s="38"/>
      <c r="BK134" s="38"/>
      <c r="BL134" s="38"/>
      <c r="BM134" s="38"/>
      <c r="BN134" s="38"/>
      <c r="BO134" s="38"/>
      <c r="BP134" s="38"/>
      <c r="BQ134" s="38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38"/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38"/>
      <c r="DC134" s="38"/>
      <c r="DD134" s="38"/>
      <c r="DE134" s="38"/>
      <c r="DF134" s="38"/>
      <c r="DG134" s="38"/>
      <c r="DH134" s="38"/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  <c r="EB134" s="38"/>
      <c r="EC134" s="38"/>
      <c r="ED134" s="38"/>
      <c r="EE134" s="38"/>
      <c r="EF134" s="38"/>
      <c r="EG134" s="38"/>
      <c r="EH134" s="38"/>
      <c r="EI134" s="38"/>
      <c r="EJ134" s="38"/>
      <c r="EK134" s="38"/>
      <c r="EL134" s="38"/>
      <c r="EM134" s="38"/>
    </row>
    <row r="135" spans="2:143" x14ac:dyDescent="0.3">
      <c r="B135" s="38"/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8"/>
      <c r="BH135" s="38"/>
      <c r="BI135" s="38"/>
      <c r="BJ135" s="38"/>
      <c r="BK135" s="38"/>
      <c r="BL135" s="38"/>
      <c r="BM135" s="38"/>
      <c r="BN135" s="38"/>
      <c r="BO135" s="38"/>
      <c r="BP135" s="38"/>
      <c r="BQ135" s="38"/>
      <c r="BR135" s="38"/>
      <c r="BS135" s="38"/>
      <c r="BT135" s="38"/>
      <c r="BU135" s="38"/>
      <c r="BV135" s="38"/>
      <c r="BW135" s="38"/>
      <c r="BX135" s="38"/>
      <c r="BY135" s="38"/>
      <c r="BZ135" s="38"/>
      <c r="CA135" s="38"/>
      <c r="CB135" s="38"/>
      <c r="CC135" s="38"/>
      <c r="CD135" s="38"/>
      <c r="CE135" s="38"/>
      <c r="CF135" s="38"/>
      <c r="CG135" s="38"/>
      <c r="CH135" s="38"/>
      <c r="CI135" s="38"/>
      <c r="CJ135" s="38"/>
      <c r="CK135" s="38"/>
      <c r="CL135" s="38"/>
      <c r="CM135" s="38"/>
      <c r="CN135" s="38"/>
      <c r="CO135" s="38"/>
      <c r="CP135" s="38"/>
      <c r="CQ135" s="38"/>
      <c r="CR135" s="38"/>
      <c r="CS135" s="38"/>
      <c r="CT135" s="38"/>
      <c r="CU135" s="38"/>
      <c r="CV135" s="38"/>
      <c r="CW135" s="38"/>
      <c r="CX135" s="38"/>
      <c r="CY135" s="38"/>
      <c r="CZ135" s="38"/>
      <c r="DA135" s="38"/>
      <c r="DB135" s="38"/>
      <c r="DC135" s="38"/>
      <c r="DD135" s="38"/>
      <c r="DE135" s="38"/>
      <c r="DF135" s="38"/>
      <c r="DG135" s="38"/>
      <c r="DH135" s="38"/>
      <c r="DI135" s="38"/>
      <c r="DJ135" s="38"/>
      <c r="DK135" s="38"/>
      <c r="DL135" s="38"/>
      <c r="DM135" s="38"/>
      <c r="DN135" s="38"/>
      <c r="DO135" s="38"/>
      <c r="DP135" s="38"/>
      <c r="DQ135" s="38"/>
      <c r="DR135" s="38"/>
      <c r="DS135" s="38"/>
      <c r="DT135" s="38"/>
      <c r="DU135" s="38"/>
      <c r="DV135" s="38"/>
      <c r="DW135" s="38"/>
      <c r="DX135" s="38"/>
      <c r="DY135" s="38"/>
      <c r="DZ135" s="38"/>
      <c r="EA135" s="38"/>
      <c r="EB135" s="38"/>
      <c r="EC135" s="38"/>
      <c r="ED135" s="38"/>
      <c r="EE135" s="38"/>
      <c r="EF135" s="38"/>
      <c r="EG135" s="38"/>
      <c r="EH135" s="38"/>
      <c r="EI135" s="38"/>
      <c r="EJ135" s="38"/>
      <c r="EK135" s="38"/>
      <c r="EL135" s="38"/>
      <c r="EM135" s="38"/>
    </row>
    <row r="136" spans="2:143" x14ac:dyDescent="0.3">
      <c r="B136" s="38"/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8"/>
      <c r="BH136" s="38"/>
      <c r="BI136" s="38"/>
      <c r="BJ136" s="38"/>
      <c r="BK136" s="38"/>
      <c r="BL136" s="38"/>
      <c r="BM136" s="38"/>
      <c r="BN136" s="38"/>
      <c r="BO136" s="38"/>
      <c r="BP136" s="38"/>
      <c r="BQ136" s="38"/>
      <c r="BR136" s="38"/>
      <c r="BS136" s="38"/>
      <c r="BT136" s="38"/>
      <c r="BU136" s="38"/>
      <c r="BV136" s="38"/>
      <c r="BW136" s="38"/>
      <c r="BX136" s="38"/>
      <c r="BY136" s="38"/>
      <c r="BZ136" s="38"/>
      <c r="CA136" s="38"/>
      <c r="CB136" s="38"/>
      <c r="CC136" s="38"/>
      <c r="CD136" s="38"/>
      <c r="CE136" s="38"/>
      <c r="CF136" s="38"/>
      <c r="CG136" s="38"/>
      <c r="CH136" s="38"/>
      <c r="CI136" s="38"/>
      <c r="CJ136" s="38"/>
      <c r="CK136" s="38"/>
      <c r="CL136" s="38"/>
      <c r="CM136" s="38"/>
      <c r="CN136" s="38"/>
      <c r="CO136" s="38"/>
      <c r="CP136" s="38"/>
      <c r="CQ136" s="38"/>
      <c r="CR136" s="38"/>
      <c r="CS136" s="38"/>
      <c r="CT136" s="38"/>
      <c r="CU136" s="38"/>
      <c r="CV136" s="38"/>
      <c r="CW136" s="38"/>
      <c r="CX136" s="38"/>
      <c r="CY136" s="38"/>
      <c r="CZ136" s="38"/>
      <c r="DA136" s="38"/>
      <c r="DB136" s="38"/>
      <c r="DC136" s="38"/>
      <c r="DD136" s="38"/>
      <c r="DE136" s="38"/>
      <c r="DF136" s="38"/>
      <c r="DG136" s="38"/>
      <c r="DH136" s="38"/>
      <c r="DI136" s="38"/>
      <c r="DJ136" s="38"/>
      <c r="DK136" s="38"/>
      <c r="DL136" s="38"/>
      <c r="DM136" s="38"/>
      <c r="DN136" s="38"/>
      <c r="DO136" s="38"/>
      <c r="DP136" s="38"/>
      <c r="DQ136" s="38"/>
      <c r="DR136" s="38"/>
      <c r="DS136" s="38"/>
      <c r="DT136" s="38"/>
      <c r="DU136" s="38"/>
      <c r="DV136" s="38"/>
      <c r="DW136" s="38"/>
      <c r="DX136" s="38"/>
      <c r="DY136" s="38"/>
      <c r="DZ136" s="38"/>
      <c r="EA136" s="38"/>
      <c r="EB136" s="38"/>
      <c r="EC136" s="38"/>
      <c r="ED136" s="38"/>
      <c r="EE136" s="38"/>
      <c r="EF136" s="38"/>
      <c r="EG136" s="38"/>
      <c r="EH136" s="38"/>
      <c r="EI136" s="38"/>
      <c r="EJ136" s="38"/>
      <c r="EK136" s="38"/>
      <c r="EL136" s="38"/>
      <c r="EM136" s="38"/>
    </row>
    <row r="137" spans="2:143" x14ac:dyDescent="0.3">
      <c r="B137" s="38"/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8"/>
      <c r="BH137" s="38"/>
      <c r="BI137" s="38"/>
      <c r="BJ137" s="38"/>
      <c r="BK137" s="38"/>
      <c r="BL137" s="38"/>
      <c r="BM137" s="38"/>
      <c r="BN137" s="38"/>
      <c r="BO137" s="38"/>
      <c r="BP137" s="38"/>
      <c r="BQ137" s="38"/>
      <c r="BR137" s="38"/>
      <c r="BS137" s="38"/>
      <c r="BT137" s="38"/>
      <c r="BU137" s="38"/>
      <c r="BV137" s="38"/>
      <c r="BW137" s="38"/>
      <c r="BX137" s="38"/>
      <c r="BY137" s="38"/>
      <c r="BZ137" s="38"/>
      <c r="CA137" s="38"/>
      <c r="CB137" s="38"/>
      <c r="CC137" s="38"/>
      <c r="CD137" s="38"/>
      <c r="CE137" s="38"/>
      <c r="CF137" s="38"/>
      <c r="CG137" s="38"/>
      <c r="CH137" s="38"/>
      <c r="CI137" s="38"/>
      <c r="CJ137" s="38"/>
      <c r="CK137" s="38"/>
      <c r="CL137" s="38"/>
      <c r="CM137" s="38"/>
      <c r="CN137" s="38"/>
      <c r="CO137" s="38"/>
      <c r="CP137" s="38"/>
      <c r="CQ137" s="38"/>
      <c r="CR137" s="38"/>
      <c r="CS137" s="38"/>
      <c r="CT137" s="38"/>
      <c r="CU137" s="38"/>
      <c r="CV137" s="38"/>
      <c r="CW137" s="38"/>
      <c r="CX137" s="38"/>
      <c r="CY137" s="38"/>
      <c r="CZ137" s="38"/>
      <c r="DA137" s="38"/>
      <c r="DB137" s="38"/>
      <c r="DC137" s="38"/>
      <c r="DD137" s="38"/>
      <c r="DE137" s="38"/>
      <c r="DF137" s="38"/>
      <c r="DG137" s="38"/>
      <c r="DH137" s="38"/>
      <c r="DI137" s="38"/>
      <c r="DJ137" s="38"/>
      <c r="DK137" s="38"/>
      <c r="DL137" s="38"/>
      <c r="DM137" s="38"/>
      <c r="DN137" s="38"/>
      <c r="DO137" s="38"/>
      <c r="DP137" s="38"/>
      <c r="DQ137" s="38"/>
      <c r="DR137" s="38"/>
      <c r="DS137" s="38"/>
      <c r="DT137" s="38"/>
      <c r="DU137" s="38"/>
      <c r="DV137" s="38"/>
      <c r="DW137" s="38"/>
      <c r="DX137" s="38"/>
      <c r="DY137" s="38"/>
      <c r="DZ137" s="38"/>
      <c r="EA137" s="38"/>
      <c r="EB137" s="38"/>
      <c r="EC137" s="38"/>
      <c r="ED137" s="38"/>
      <c r="EE137" s="38"/>
      <c r="EF137" s="38"/>
      <c r="EG137" s="38"/>
      <c r="EH137" s="38"/>
      <c r="EI137" s="38"/>
      <c r="EJ137" s="38"/>
      <c r="EK137" s="38"/>
      <c r="EL137" s="38"/>
      <c r="EM137" s="38"/>
    </row>
    <row r="138" spans="2:143" x14ac:dyDescent="0.3">
      <c r="B138" s="38"/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8"/>
      <c r="BH138" s="38"/>
      <c r="BI138" s="38"/>
      <c r="BJ138" s="38"/>
      <c r="BK138" s="38"/>
      <c r="BL138" s="38"/>
      <c r="BM138" s="38"/>
      <c r="BN138" s="38"/>
      <c r="BO138" s="38"/>
      <c r="BP138" s="38"/>
      <c r="BQ138" s="38"/>
      <c r="BR138" s="38"/>
      <c r="BS138" s="38"/>
      <c r="BT138" s="38"/>
      <c r="BU138" s="38"/>
      <c r="BV138" s="38"/>
      <c r="BW138" s="38"/>
      <c r="BX138" s="38"/>
      <c r="BY138" s="38"/>
      <c r="BZ138" s="38"/>
      <c r="CA138" s="38"/>
      <c r="CB138" s="38"/>
      <c r="CC138" s="38"/>
      <c r="CD138" s="38"/>
      <c r="CE138" s="38"/>
      <c r="CF138" s="38"/>
      <c r="CG138" s="38"/>
      <c r="CH138" s="38"/>
      <c r="CI138" s="38"/>
      <c r="CJ138" s="38"/>
      <c r="CK138" s="38"/>
      <c r="CL138" s="38"/>
      <c r="CM138" s="38"/>
      <c r="CN138" s="38"/>
      <c r="CO138" s="38"/>
      <c r="CP138" s="38"/>
      <c r="CQ138" s="38"/>
      <c r="CR138" s="38"/>
      <c r="CS138" s="38"/>
      <c r="CT138" s="38"/>
      <c r="CU138" s="38"/>
      <c r="CV138" s="38"/>
      <c r="CW138" s="38"/>
      <c r="CX138" s="38"/>
      <c r="CY138" s="38"/>
      <c r="CZ138" s="38"/>
      <c r="DA138" s="38"/>
      <c r="DB138" s="38"/>
      <c r="DC138" s="38"/>
      <c r="DD138" s="38"/>
      <c r="DE138" s="38"/>
      <c r="DF138" s="38"/>
      <c r="DG138" s="38"/>
      <c r="DH138" s="38"/>
      <c r="DI138" s="38"/>
      <c r="DJ138" s="38"/>
      <c r="DK138" s="38"/>
      <c r="DL138" s="38"/>
      <c r="DM138" s="38"/>
      <c r="DN138" s="38"/>
      <c r="DO138" s="38"/>
      <c r="DP138" s="38"/>
      <c r="DQ138" s="38"/>
      <c r="DR138" s="38"/>
      <c r="DS138" s="38"/>
      <c r="DT138" s="38"/>
      <c r="DU138" s="38"/>
      <c r="DV138" s="38"/>
      <c r="DW138" s="38"/>
      <c r="DX138" s="38"/>
      <c r="DY138" s="38"/>
      <c r="DZ138" s="38"/>
      <c r="EA138" s="38"/>
      <c r="EB138" s="38"/>
      <c r="EC138" s="38"/>
      <c r="ED138" s="38"/>
      <c r="EE138" s="38"/>
      <c r="EF138" s="38"/>
      <c r="EG138" s="38"/>
      <c r="EH138" s="38"/>
      <c r="EI138" s="38"/>
      <c r="EJ138" s="38"/>
      <c r="EK138" s="38"/>
      <c r="EL138" s="38"/>
      <c r="EM138" s="38"/>
    </row>
    <row r="139" spans="2:143" x14ac:dyDescent="0.3">
      <c r="B139" s="38"/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8"/>
      <c r="BH139" s="38"/>
      <c r="BI139" s="38"/>
      <c r="BJ139" s="38"/>
      <c r="BK139" s="38"/>
      <c r="BL139" s="38"/>
      <c r="BM139" s="38"/>
      <c r="BN139" s="38"/>
      <c r="BO139" s="38"/>
      <c r="BP139" s="38"/>
      <c r="BQ139" s="38"/>
      <c r="BR139" s="38"/>
      <c r="BS139" s="38"/>
      <c r="BT139" s="38"/>
      <c r="BU139" s="38"/>
      <c r="BV139" s="38"/>
      <c r="BW139" s="38"/>
      <c r="BX139" s="38"/>
      <c r="BY139" s="38"/>
      <c r="BZ139" s="38"/>
      <c r="CA139" s="38"/>
      <c r="CB139" s="38"/>
      <c r="CC139" s="38"/>
      <c r="CD139" s="38"/>
      <c r="CE139" s="38"/>
      <c r="CF139" s="38"/>
      <c r="CG139" s="38"/>
      <c r="CH139" s="38"/>
      <c r="CI139" s="38"/>
      <c r="CJ139" s="38"/>
      <c r="CK139" s="38"/>
      <c r="CL139" s="38"/>
      <c r="CM139" s="38"/>
      <c r="CN139" s="38"/>
      <c r="CO139" s="38"/>
      <c r="CP139" s="38"/>
      <c r="CQ139" s="38"/>
      <c r="CR139" s="38"/>
      <c r="CS139" s="38"/>
      <c r="CT139" s="38"/>
      <c r="CU139" s="38"/>
      <c r="CV139" s="38"/>
      <c r="CW139" s="38"/>
      <c r="CX139" s="38"/>
      <c r="CY139" s="38"/>
      <c r="CZ139" s="38"/>
      <c r="DA139" s="38"/>
      <c r="DB139" s="38"/>
      <c r="DC139" s="38"/>
      <c r="DD139" s="38"/>
      <c r="DE139" s="38"/>
      <c r="DF139" s="38"/>
      <c r="DG139" s="38"/>
      <c r="DH139" s="38"/>
      <c r="DI139" s="38"/>
      <c r="DJ139" s="38"/>
      <c r="DK139" s="38"/>
      <c r="DL139" s="38"/>
      <c r="DM139" s="38"/>
      <c r="DN139" s="38"/>
      <c r="DO139" s="38"/>
      <c r="DP139" s="38"/>
      <c r="DQ139" s="38"/>
      <c r="DR139" s="38"/>
      <c r="DS139" s="38"/>
      <c r="DT139" s="38"/>
      <c r="DU139" s="38"/>
      <c r="DV139" s="38"/>
      <c r="DW139" s="38"/>
      <c r="DX139" s="38"/>
      <c r="DY139" s="38"/>
      <c r="DZ139" s="38"/>
      <c r="EA139" s="38"/>
      <c r="EB139" s="38"/>
      <c r="EC139" s="38"/>
      <c r="ED139" s="38"/>
      <c r="EE139" s="38"/>
      <c r="EF139" s="38"/>
      <c r="EG139" s="38"/>
      <c r="EH139" s="38"/>
      <c r="EI139" s="38"/>
      <c r="EJ139" s="38"/>
      <c r="EK139" s="38"/>
      <c r="EL139" s="38"/>
      <c r="EM139" s="38"/>
    </row>
    <row r="140" spans="2:143" x14ac:dyDescent="0.3">
      <c r="B140" s="38"/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8"/>
      <c r="BH140" s="38"/>
      <c r="BI140" s="38"/>
      <c r="BJ140" s="38"/>
      <c r="BK140" s="38"/>
      <c r="BL140" s="38"/>
      <c r="BM140" s="38"/>
      <c r="BN140" s="38"/>
      <c r="BO140" s="38"/>
      <c r="BP140" s="38"/>
      <c r="BQ140" s="38"/>
      <c r="BR140" s="38"/>
      <c r="BS140" s="38"/>
      <c r="BT140" s="38"/>
      <c r="BU140" s="38"/>
      <c r="BV140" s="38"/>
      <c r="BW140" s="38"/>
      <c r="BX140" s="38"/>
      <c r="BY140" s="38"/>
      <c r="BZ140" s="38"/>
      <c r="CA140" s="38"/>
      <c r="CB140" s="38"/>
      <c r="CC140" s="38"/>
      <c r="CD140" s="38"/>
      <c r="CE140" s="38"/>
      <c r="CF140" s="38"/>
      <c r="CG140" s="38"/>
      <c r="CH140" s="38"/>
      <c r="CI140" s="38"/>
      <c r="CJ140" s="38"/>
      <c r="CK140" s="38"/>
      <c r="CL140" s="38"/>
      <c r="CM140" s="38"/>
      <c r="CN140" s="38"/>
      <c r="CO140" s="38"/>
      <c r="CP140" s="38"/>
      <c r="CQ140" s="38"/>
      <c r="CR140" s="38"/>
      <c r="CS140" s="38"/>
      <c r="CT140" s="38"/>
      <c r="CU140" s="38"/>
      <c r="CV140" s="38"/>
      <c r="CW140" s="38"/>
      <c r="CX140" s="38"/>
      <c r="CY140" s="38"/>
      <c r="CZ140" s="38"/>
      <c r="DA140" s="38"/>
      <c r="DB140" s="38"/>
      <c r="DC140" s="38"/>
      <c r="DD140" s="38"/>
      <c r="DE140" s="38"/>
      <c r="DF140" s="38"/>
      <c r="DG140" s="38"/>
      <c r="DH140" s="38"/>
      <c r="DI140" s="38"/>
      <c r="DJ140" s="38"/>
      <c r="DK140" s="38"/>
      <c r="DL140" s="38"/>
      <c r="DM140" s="38"/>
      <c r="DN140" s="38"/>
      <c r="DO140" s="38"/>
      <c r="DP140" s="38"/>
      <c r="DQ140" s="38"/>
      <c r="DR140" s="38"/>
      <c r="DS140" s="38"/>
      <c r="DT140" s="38"/>
      <c r="DU140" s="38"/>
      <c r="DV140" s="38"/>
      <c r="DW140" s="38"/>
      <c r="DX140" s="38"/>
      <c r="DY140" s="38"/>
      <c r="DZ140" s="38"/>
      <c r="EA140" s="38"/>
      <c r="EB140" s="38"/>
      <c r="EC140" s="38"/>
      <c r="ED140" s="38"/>
      <c r="EE140" s="38"/>
      <c r="EF140" s="38"/>
      <c r="EG140" s="38"/>
      <c r="EH140" s="38"/>
      <c r="EI140" s="38"/>
      <c r="EJ140" s="38"/>
      <c r="EK140" s="38"/>
      <c r="EL140" s="38"/>
      <c r="EM140" s="38"/>
    </row>
    <row r="141" spans="2:143" x14ac:dyDescent="0.3">
      <c r="B141" s="38"/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8"/>
      <c r="BH141" s="38"/>
      <c r="BI141" s="38"/>
      <c r="BJ141" s="38"/>
      <c r="BK141" s="38"/>
      <c r="BL141" s="38"/>
      <c r="BM141" s="38"/>
      <c r="BN141" s="38"/>
      <c r="BO141" s="38"/>
      <c r="BP141" s="38"/>
      <c r="BQ141" s="38"/>
      <c r="BR141" s="38"/>
      <c r="BS141" s="38"/>
      <c r="BT141" s="38"/>
      <c r="BU141" s="38"/>
      <c r="BV141" s="38"/>
      <c r="BW141" s="38"/>
      <c r="BX141" s="38"/>
      <c r="BY141" s="38"/>
      <c r="BZ141" s="38"/>
      <c r="CA141" s="38"/>
      <c r="CB141" s="38"/>
      <c r="CC141" s="38"/>
      <c r="CD141" s="38"/>
      <c r="CE141" s="38"/>
      <c r="CF141" s="38"/>
      <c r="CG141" s="38"/>
      <c r="CH141" s="38"/>
      <c r="CI141" s="38"/>
      <c r="CJ141" s="38"/>
      <c r="CK141" s="38"/>
      <c r="CL141" s="38"/>
      <c r="CM141" s="38"/>
      <c r="CN141" s="38"/>
      <c r="CO141" s="38"/>
      <c r="CP141" s="38"/>
      <c r="CQ141" s="38"/>
      <c r="CR141" s="38"/>
      <c r="CS141" s="38"/>
      <c r="CT141" s="38"/>
      <c r="CU141" s="38"/>
      <c r="CV141" s="38"/>
      <c r="CW141" s="38"/>
      <c r="CX141" s="38"/>
      <c r="CY141" s="38"/>
      <c r="CZ141" s="38"/>
      <c r="DA141" s="38"/>
      <c r="DB141" s="38"/>
      <c r="DC141" s="38"/>
      <c r="DD141" s="38"/>
      <c r="DE141" s="38"/>
      <c r="DF141" s="38"/>
      <c r="DG141" s="38"/>
      <c r="DH141" s="38"/>
      <c r="DI141" s="38"/>
      <c r="DJ141" s="38"/>
      <c r="DK141" s="38"/>
      <c r="DL141" s="38"/>
      <c r="DM141" s="38"/>
      <c r="DN141" s="38"/>
      <c r="DO141" s="38"/>
      <c r="DP141" s="38"/>
      <c r="DQ141" s="38"/>
      <c r="DR141" s="38"/>
      <c r="DS141" s="38"/>
      <c r="DT141" s="38"/>
      <c r="DU141" s="38"/>
      <c r="DV141" s="38"/>
      <c r="DW141" s="38"/>
      <c r="DX141" s="38"/>
      <c r="DY141" s="38"/>
      <c r="DZ141" s="38"/>
      <c r="EA141" s="38"/>
      <c r="EB141" s="38"/>
      <c r="EC141" s="38"/>
      <c r="ED141" s="38"/>
      <c r="EE141" s="38"/>
      <c r="EF141" s="38"/>
      <c r="EG141" s="38"/>
      <c r="EH141" s="38"/>
      <c r="EI141" s="38"/>
      <c r="EJ141" s="38"/>
      <c r="EK141" s="38"/>
      <c r="EL141" s="38"/>
      <c r="EM141" s="38"/>
    </row>
    <row r="142" spans="2:143" x14ac:dyDescent="0.3">
      <c r="B142" s="38"/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8"/>
      <c r="BH142" s="38"/>
      <c r="BI142" s="38"/>
      <c r="BJ142" s="38"/>
      <c r="BK142" s="38"/>
      <c r="BL142" s="38"/>
      <c r="BM142" s="38"/>
      <c r="BN142" s="38"/>
      <c r="BO142" s="38"/>
      <c r="BP142" s="38"/>
      <c r="BQ142" s="38"/>
      <c r="BR142" s="38"/>
      <c r="BS142" s="38"/>
      <c r="BT142" s="38"/>
      <c r="BU142" s="38"/>
      <c r="BV142" s="38"/>
      <c r="BW142" s="38"/>
      <c r="BX142" s="38"/>
      <c r="BY142" s="38"/>
      <c r="BZ142" s="38"/>
      <c r="CA142" s="38"/>
      <c r="CB142" s="38"/>
      <c r="CC142" s="38"/>
      <c r="CD142" s="38"/>
      <c r="CE142" s="38"/>
      <c r="CF142" s="38"/>
      <c r="CG142" s="38"/>
      <c r="CH142" s="38"/>
      <c r="CI142" s="38"/>
      <c r="CJ142" s="38"/>
      <c r="CK142" s="38"/>
      <c r="CL142" s="38"/>
      <c r="CM142" s="38"/>
      <c r="CN142" s="38"/>
      <c r="CO142" s="38"/>
      <c r="CP142" s="38"/>
      <c r="CQ142" s="38"/>
      <c r="CR142" s="38"/>
      <c r="CS142" s="38"/>
      <c r="CT142" s="38"/>
      <c r="CU142" s="38"/>
      <c r="CV142" s="38"/>
      <c r="CW142" s="38"/>
      <c r="CX142" s="38"/>
      <c r="CY142" s="38"/>
      <c r="CZ142" s="38"/>
      <c r="DA142" s="38"/>
      <c r="DB142" s="38"/>
      <c r="DC142" s="38"/>
      <c r="DD142" s="38"/>
      <c r="DE142" s="38"/>
      <c r="DF142" s="38"/>
      <c r="DG142" s="38"/>
      <c r="DH142" s="38"/>
      <c r="DI142" s="38"/>
      <c r="DJ142" s="38"/>
      <c r="DK142" s="38"/>
      <c r="DL142" s="38"/>
      <c r="DM142" s="38"/>
      <c r="DN142" s="38"/>
      <c r="DO142" s="38"/>
      <c r="DP142" s="38"/>
      <c r="DQ142" s="38"/>
      <c r="DR142" s="38"/>
      <c r="DS142" s="38"/>
      <c r="DT142" s="38"/>
      <c r="DU142" s="38"/>
      <c r="DV142" s="38"/>
      <c r="DW142" s="38"/>
      <c r="DX142" s="38"/>
      <c r="DY142" s="38"/>
      <c r="DZ142" s="38"/>
      <c r="EA142" s="38"/>
      <c r="EB142" s="38"/>
      <c r="EC142" s="38"/>
      <c r="ED142" s="38"/>
      <c r="EE142" s="38"/>
      <c r="EF142" s="38"/>
      <c r="EG142" s="38"/>
      <c r="EH142" s="38"/>
      <c r="EI142" s="38"/>
      <c r="EJ142" s="38"/>
      <c r="EK142" s="38"/>
      <c r="EL142" s="38"/>
      <c r="EM142" s="38"/>
    </row>
    <row r="143" spans="2:143" x14ac:dyDescent="0.3">
      <c r="B143" s="38"/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8"/>
      <c r="BH143" s="38"/>
      <c r="BI143" s="38"/>
      <c r="BJ143" s="38"/>
      <c r="BK143" s="38"/>
      <c r="BL143" s="38"/>
      <c r="BM143" s="38"/>
      <c r="BN143" s="38"/>
      <c r="BO143" s="38"/>
      <c r="BP143" s="38"/>
      <c r="BQ143" s="38"/>
      <c r="BR143" s="38"/>
      <c r="BS143" s="38"/>
      <c r="BT143" s="38"/>
      <c r="BU143" s="38"/>
      <c r="BV143" s="38"/>
      <c r="BW143" s="38"/>
      <c r="BX143" s="38"/>
      <c r="BY143" s="38"/>
      <c r="BZ143" s="38"/>
      <c r="CA143" s="38"/>
      <c r="CB143" s="38"/>
      <c r="CC143" s="38"/>
      <c r="CD143" s="38"/>
      <c r="CE143" s="38"/>
      <c r="CF143" s="38"/>
      <c r="CG143" s="38"/>
      <c r="CH143" s="38"/>
      <c r="CI143" s="38"/>
      <c r="CJ143" s="38"/>
      <c r="CK143" s="38"/>
      <c r="CL143" s="38"/>
      <c r="CM143" s="38"/>
      <c r="CN143" s="38"/>
      <c r="CO143" s="38"/>
      <c r="CP143" s="38"/>
      <c r="CQ143" s="38"/>
      <c r="CR143" s="38"/>
      <c r="CS143" s="38"/>
      <c r="CT143" s="38"/>
      <c r="CU143" s="38"/>
      <c r="CV143" s="38"/>
      <c r="CW143" s="38"/>
      <c r="CX143" s="38"/>
      <c r="CY143" s="38"/>
      <c r="CZ143" s="38"/>
      <c r="DA143" s="38"/>
      <c r="DB143" s="38"/>
      <c r="DC143" s="38"/>
      <c r="DD143" s="38"/>
      <c r="DE143" s="38"/>
      <c r="DF143" s="38"/>
      <c r="DG143" s="38"/>
      <c r="DH143" s="38"/>
      <c r="DI143" s="38"/>
      <c r="DJ143" s="38"/>
      <c r="DK143" s="38"/>
      <c r="DL143" s="38"/>
      <c r="DM143" s="38"/>
      <c r="DN143" s="38"/>
      <c r="DO143" s="38"/>
      <c r="DP143" s="38"/>
      <c r="DQ143" s="38"/>
      <c r="DR143" s="38"/>
      <c r="DS143" s="38"/>
      <c r="DT143" s="38"/>
      <c r="DU143" s="38"/>
      <c r="DV143" s="38"/>
      <c r="DW143" s="38"/>
      <c r="DX143" s="38"/>
      <c r="DY143" s="38"/>
      <c r="DZ143" s="38"/>
      <c r="EA143" s="38"/>
      <c r="EB143" s="38"/>
      <c r="EC143" s="38"/>
      <c r="ED143" s="38"/>
      <c r="EE143" s="38"/>
      <c r="EF143" s="38"/>
      <c r="EG143" s="38"/>
      <c r="EH143" s="38"/>
      <c r="EI143" s="38"/>
      <c r="EJ143" s="38"/>
      <c r="EK143" s="38"/>
      <c r="EL143" s="38"/>
      <c r="EM143" s="38"/>
    </row>
    <row r="144" spans="2:143" x14ac:dyDescent="0.3">
      <c r="B144" s="38"/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38"/>
      <c r="AK144" s="38"/>
      <c r="AL144" s="38"/>
      <c r="AM144" s="38"/>
      <c r="AN144" s="38"/>
      <c r="AO144" s="38"/>
      <c r="AP144" s="38"/>
      <c r="AQ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8"/>
      <c r="BH144" s="38"/>
      <c r="BI144" s="38"/>
      <c r="BJ144" s="38"/>
      <c r="BK144" s="38"/>
      <c r="BL144" s="38"/>
      <c r="BM144" s="38"/>
      <c r="BN144" s="38"/>
      <c r="BO144" s="38"/>
      <c r="BP144" s="38"/>
      <c r="BQ144" s="38"/>
      <c r="BR144" s="38"/>
      <c r="BS144" s="38"/>
      <c r="BT144" s="38"/>
      <c r="BU144" s="38"/>
      <c r="BV144" s="38"/>
      <c r="BW144" s="38"/>
      <c r="BX144" s="38"/>
      <c r="BY144" s="38"/>
      <c r="BZ144" s="38"/>
      <c r="CA144" s="38"/>
      <c r="CB144" s="38"/>
      <c r="CC144" s="38"/>
      <c r="CD144" s="38"/>
      <c r="CE144" s="38"/>
      <c r="CF144" s="38"/>
      <c r="CG144" s="38"/>
      <c r="CH144" s="38"/>
      <c r="CI144" s="38"/>
      <c r="CJ144" s="38"/>
      <c r="CK144" s="38"/>
      <c r="CL144" s="38"/>
      <c r="CM144" s="38"/>
      <c r="CN144" s="38"/>
      <c r="CO144" s="38"/>
      <c r="CP144" s="38"/>
      <c r="CQ144" s="38"/>
      <c r="CR144" s="38"/>
      <c r="CS144" s="38"/>
      <c r="CT144" s="38"/>
      <c r="CU144" s="38"/>
      <c r="CV144" s="38"/>
      <c r="CW144" s="38"/>
      <c r="CX144" s="38"/>
      <c r="CY144" s="38"/>
      <c r="CZ144" s="38"/>
      <c r="DA144" s="38"/>
      <c r="DB144" s="38"/>
      <c r="DC144" s="38"/>
      <c r="DD144" s="38"/>
      <c r="DE144" s="38"/>
      <c r="DF144" s="38"/>
      <c r="DG144" s="38"/>
      <c r="DH144" s="38"/>
      <c r="DI144" s="38"/>
      <c r="DJ144" s="38"/>
      <c r="DK144" s="38"/>
      <c r="DL144" s="38"/>
      <c r="DM144" s="38"/>
      <c r="DN144" s="38"/>
      <c r="DO144" s="38"/>
      <c r="DP144" s="38"/>
      <c r="DQ144" s="38"/>
      <c r="DR144" s="38"/>
      <c r="DS144" s="38"/>
      <c r="DT144" s="38"/>
      <c r="DU144" s="38"/>
      <c r="DV144" s="38"/>
      <c r="DW144" s="38"/>
      <c r="DX144" s="38"/>
      <c r="DY144" s="38"/>
      <c r="DZ144" s="38"/>
      <c r="EA144" s="38"/>
      <c r="EB144" s="38"/>
      <c r="EC144" s="38"/>
      <c r="ED144" s="38"/>
      <c r="EE144" s="38"/>
      <c r="EF144" s="38"/>
      <c r="EG144" s="38"/>
      <c r="EH144" s="38"/>
      <c r="EI144" s="38"/>
      <c r="EJ144" s="38"/>
      <c r="EK144" s="38"/>
      <c r="EL144" s="38"/>
      <c r="EM144" s="38"/>
    </row>
    <row r="145" spans="2:143" x14ac:dyDescent="0.3">
      <c r="B145" s="38"/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8"/>
      <c r="BH145" s="38"/>
      <c r="BI145" s="38"/>
      <c r="BJ145" s="38"/>
      <c r="BK145" s="38"/>
      <c r="BL145" s="38"/>
      <c r="BM145" s="38"/>
      <c r="BN145" s="38"/>
      <c r="BO145" s="38"/>
      <c r="BP145" s="38"/>
      <c r="BQ145" s="38"/>
      <c r="BR145" s="38"/>
      <c r="BS145" s="38"/>
      <c r="BT145" s="38"/>
      <c r="BU145" s="38"/>
      <c r="BV145" s="38"/>
      <c r="BW145" s="38"/>
      <c r="BX145" s="38"/>
      <c r="BY145" s="38"/>
      <c r="BZ145" s="38"/>
      <c r="CA145" s="38"/>
      <c r="CB145" s="38"/>
      <c r="CC145" s="38"/>
      <c r="CD145" s="38"/>
      <c r="CE145" s="38"/>
      <c r="CF145" s="38"/>
      <c r="CG145" s="38"/>
      <c r="CH145" s="38"/>
      <c r="CI145" s="38"/>
      <c r="CJ145" s="38"/>
      <c r="CK145" s="38"/>
      <c r="CL145" s="38"/>
      <c r="CM145" s="38"/>
      <c r="CN145" s="38"/>
      <c r="CO145" s="38"/>
      <c r="CP145" s="38"/>
      <c r="CQ145" s="38"/>
      <c r="CR145" s="38"/>
      <c r="CS145" s="38"/>
      <c r="CT145" s="38"/>
      <c r="CU145" s="38"/>
      <c r="CV145" s="38"/>
      <c r="CW145" s="38"/>
      <c r="CX145" s="38"/>
      <c r="CY145" s="38"/>
      <c r="CZ145" s="38"/>
      <c r="DA145" s="38"/>
      <c r="DB145" s="38"/>
      <c r="DC145" s="38"/>
      <c r="DD145" s="38"/>
      <c r="DE145" s="38"/>
      <c r="DF145" s="38"/>
      <c r="DG145" s="38"/>
      <c r="DH145" s="38"/>
      <c r="DI145" s="38"/>
      <c r="DJ145" s="38"/>
      <c r="DK145" s="38"/>
      <c r="DL145" s="38"/>
      <c r="DM145" s="38"/>
      <c r="DN145" s="38"/>
      <c r="DO145" s="38"/>
      <c r="DP145" s="38"/>
      <c r="DQ145" s="38"/>
      <c r="DR145" s="38"/>
      <c r="DS145" s="38"/>
      <c r="DT145" s="38"/>
      <c r="DU145" s="38"/>
      <c r="DV145" s="38"/>
      <c r="DW145" s="38"/>
      <c r="DX145" s="38"/>
      <c r="DY145" s="38"/>
      <c r="DZ145" s="38"/>
      <c r="EA145" s="38"/>
      <c r="EB145" s="38"/>
      <c r="EC145" s="38"/>
      <c r="ED145" s="38"/>
      <c r="EE145" s="38"/>
      <c r="EF145" s="38"/>
      <c r="EG145" s="38"/>
      <c r="EH145" s="38"/>
      <c r="EI145" s="38"/>
      <c r="EJ145" s="38"/>
      <c r="EK145" s="38"/>
      <c r="EL145" s="38"/>
      <c r="EM145" s="38"/>
    </row>
    <row r="146" spans="2:143" x14ac:dyDescent="0.3">
      <c r="B146" s="38"/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8"/>
      <c r="BH146" s="38"/>
      <c r="BI146" s="38"/>
      <c r="BJ146" s="38"/>
      <c r="BK146" s="38"/>
      <c r="BL146" s="38"/>
      <c r="BM146" s="38"/>
      <c r="BN146" s="38"/>
      <c r="BO146" s="38"/>
      <c r="BP146" s="38"/>
      <c r="BQ146" s="38"/>
      <c r="BR146" s="38"/>
      <c r="BS146" s="38"/>
      <c r="BT146" s="38"/>
      <c r="BU146" s="38"/>
      <c r="BV146" s="38"/>
      <c r="BW146" s="38"/>
      <c r="BX146" s="38"/>
      <c r="BY146" s="38"/>
      <c r="BZ146" s="38"/>
      <c r="CA146" s="38"/>
      <c r="CB146" s="38"/>
      <c r="CC146" s="38"/>
      <c r="CD146" s="38"/>
      <c r="CE146" s="38"/>
      <c r="CF146" s="38"/>
      <c r="CG146" s="38"/>
      <c r="CH146" s="38"/>
      <c r="CI146" s="38"/>
      <c r="CJ146" s="38"/>
      <c r="CK146" s="38"/>
      <c r="CL146" s="38"/>
      <c r="CM146" s="38"/>
      <c r="CN146" s="38"/>
      <c r="CO146" s="38"/>
      <c r="CP146" s="38"/>
      <c r="CQ146" s="38"/>
      <c r="CR146" s="38"/>
      <c r="CS146" s="38"/>
      <c r="CT146" s="38"/>
      <c r="CU146" s="38"/>
      <c r="CV146" s="38"/>
      <c r="CW146" s="38"/>
      <c r="CX146" s="38"/>
      <c r="CY146" s="38"/>
      <c r="CZ146" s="38"/>
      <c r="DA146" s="38"/>
      <c r="DB146" s="38"/>
      <c r="DC146" s="38"/>
      <c r="DD146" s="38"/>
      <c r="DE146" s="38"/>
      <c r="DF146" s="38"/>
      <c r="DG146" s="38"/>
      <c r="DH146" s="38"/>
      <c r="DI146" s="38"/>
      <c r="DJ146" s="38"/>
      <c r="DK146" s="38"/>
      <c r="DL146" s="38"/>
      <c r="DM146" s="38"/>
      <c r="DN146" s="38"/>
      <c r="DO146" s="38"/>
      <c r="DP146" s="38"/>
      <c r="DQ146" s="38"/>
      <c r="DR146" s="38"/>
      <c r="DS146" s="38"/>
      <c r="DT146" s="38"/>
      <c r="DU146" s="38"/>
      <c r="DV146" s="38"/>
      <c r="DW146" s="38"/>
      <c r="DX146" s="38"/>
      <c r="DY146" s="38"/>
      <c r="DZ146" s="38"/>
      <c r="EA146" s="38"/>
      <c r="EB146" s="38"/>
      <c r="EC146" s="38"/>
      <c r="ED146" s="38"/>
      <c r="EE146" s="38"/>
      <c r="EF146" s="38"/>
      <c r="EG146" s="38"/>
      <c r="EH146" s="38"/>
      <c r="EI146" s="38"/>
      <c r="EJ146" s="38"/>
      <c r="EK146" s="38"/>
      <c r="EL146" s="38"/>
      <c r="EM146" s="38"/>
    </row>
    <row r="147" spans="2:143" x14ac:dyDescent="0.3">
      <c r="B147" s="38"/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8"/>
      <c r="BH147" s="38"/>
      <c r="BI147" s="38"/>
      <c r="BJ147" s="38"/>
      <c r="BK147" s="38"/>
      <c r="BL147" s="38"/>
      <c r="BM147" s="38"/>
      <c r="BN147" s="38"/>
      <c r="BO147" s="38"/>
      <c r="BP147" s="38"/>
      <c r="BQ147" s="38"/>
      <c r="BR147" s="38"/>
      <c r="BS147" s="38"/>
      <c r="BT147" s="38"/>
      <c r="BU147" s="38"/>
      <c r="BV147" s="38"/>
      <c r="BW147" s="38"/>
      <c r="BX147" s="38"/>
      <c r="BY147" s="38"/>
      <c r="BZ147" s="38"/>
      <c r="CA147" s="38"/>
      <c r="CB147" s="38"/>
      <c r="CC147" s="38"/>
      <c r="CD147" s="38"/>
      <c r="CE147" s="38"/>
      <c r="CF147" s="38"/>
      <c r="CG147" s="38"/>
      <c r="CH147" s="38"/>
      <c r="CI147" s="38"/>
      <c r="CJ147" s="38"/>
      <c r="CK147" s="38"/>
      <c r="CL147" s="38"/>
      <c r="CM147" s="38"/>
      <c r="CN147" s="38"/>
      <c r="CO147" s="38"/>
      <c r="CP147" s="38"/>
      <c r="CQ147" s="38"/>
      <c r="CR147" s="38"/>
      <c r="CS147" s="38"/>
      <c r="CT147" s="38"/>
      <c r="CU147" s="38"/>
      <c r="CV147" s="38"/>
      <c r="CW147" s="38"/>
      <c r="CX147" s="38"/>
      <c r="CY147" s="38"/>
      <c r="CZ147" s="38"/>
      <c r="DA147" s="38"/>
      <c r="DB147" s="38"/>
      <c r="DC147" s="38"/>
      <c r="DD147" s="38"/>
      <c r="DE147" s="38"/>
      <c r="DF147" s="38"/>
      <c r="DG147" s="38"/>
      <c r="DH147" s="38"/>
      <c r="DI147" s="38"/>
      <c r="DJ147" s="38"/>
      <c r="DK147" s="38"/>
      <c r="DL147" s="38"/>
      <c r="DM147" s="38"/>
      <c r="DN147" s="38"/>
      <c r="DO147" s="38"/>
      <c r="DP147" s="38"/>
      <c r="DQ147" s="38"/>
      <c r="DR147" s="38"/>
      <c r="DS147" s="38"/>
      <c r="DT147" s="38"/>
      <c r="DU147" s="38"/>
      <c r="DV147" s="38"/>
      <c r="DW147" s="38"/>
      <c r="DX147" s="38"/>
      <c r="DY147" s="38"/>
      <c r="DZ147" s="38"/>
      <c r="EA147" s="38"/>
      <c r="EB147" s="38"/>
      <c r="EC147" s="38"/>
      <c r="ED147" s="38"/>
      <c r="EE147" s="38"/>
      <c r="EF147" s="38"/>
      <c r="EG147" s="38"/>
      <c r="EH147" s="38"/>
      <c r="EI147" s="38"/>
      <c r="EJ147" s="38"/>
      <c r="EK147" s="38"/>
      <c r="EL147" s="38"/>
      <c r="EM147" s="38"/>
    </row>
    <row r="148" spans="2:143" x14ac:dyDescent="0.3">
      <c r="B148" s="38"/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8"/>
      <c r="BH148" s="38"/>
      <c r="BI148" s="38"/>
      <c r="BJ148" s="38"/>
      <c r="BK148" s="38"/>
      <c r="BL148" s="38"/>
      <c r="BM148" s="38"/>
      <c r="BN148" s="38"/>
      <c r="BO148" s="38"/>
      <c r="BP148" s="38"/>
      <c r="BQ148" s="38"/>
      <c r="BR148" s="38"/>
      <c r="BS148" s="38"/>
      <c r="BT148" s="38"/>
      <c r="BU148" s="38"/>
      <c r="BV148" s="38"/>
      <c r="BW148" s="38"/>
      <c r="BX148" s="38"/>
      <c r="BY148" s="38"/>
      <c r="BZ148" s="38"/>
      <c r="CA148" s="38"/>
      <c r="CB148" s="38"/>
      <c r="CC148" s="38"/>
      <c r="CD148" s="38"/>
      <c r="CE148" s="38"/>
      <c r="CF148" s="38"/>
      <c r="CG148" s="38"/>
      <c r="CH148" s="38"/>
      <c r="CI148" s="38"/>
      <c r="CJ148" s="38"/>
      <c r="CK148" s="38"/>
      <c r="CL148" s="38"/>
      <c r="CM148" s="38"/>
      <c r="CN148" s="38"/>
      <c r="CO148" s="38"/>
      <c r="CP148" s="38"/>
      <c r="CQ148" s="38"/>
      <c r="CR148" s="38"/>
      <c r="CS148" s="38"/>
      <c r="CT148" s="38"/>
      <c r="CU148" s="38"/>
      <c r="CV148" s="38"/>
      <c r="CW148" s="38"/>
      <c r="CX148" s="38"/>
      <c r="CY148" s="38"/>
      <c r="CZ148" s="38"/>
      <c r="DA148" s="38"/>
      <c r="DB148" s="38"/>
      <c r="DC148" s="38"/>
      <c r="DD148" s="38"/>
      <c r="DE148" s="38"/>
      <c r="DF148" s="38"/>
      <c r="DG148" s="38"/>
      <c r="DH148" s="38"/>
      <c r="DI148" s="38"/>
      <c r="DJ148" s="38"/>
      <c r="DK148" s="38"/>
      <c r="DL148" s="38"/>
      <c r="DM148" s="38"/>
      <c r="DN148" s="38"/>
      <c r="DO148" s="38"/>
      <c r="DP148" s="38"/>
      <c r="DQ148" s="38"/>
      <c r="DR148" s="38"/>
      <c r="DS148" s="38"/>
      <c r="DT148" s="38"/>
      <c r="DU148" s="38"/>
      <c r="DV148" s="38"/>
      <c r="DW148" s="38"/>
      <c r="DX148" s="38"/>
      <c r="DY148" s="38"/>
      <c r="DZ148" s="38"/>
      <c r="EA148" s="38"/>
      <c r="EB148" s="38"/>
      <c r="EC148" s="38"/>
      <c r="ED148" s="38"/>
      <c r="EE148" s="38"/>
      <c r="EF148" s="38"/>
      <c r="EG148" s="38"/>
      <c r="EH148" s="38"/>
      <c r="EI148" s="38"/>
      <c r="EJ148" s="38"/>
      <c r="EK148" s="38"/>
      <c r="EL148" s="38"/>
      <c r="EM148" s="38"/>
    </row>
    <row r="149" spans="2:143" x14ac:dyDescent="0.3">
      <c r="B149" s="38"/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8"/>
      <c r="BH149" s="38"/>
      <c r="BI149" s="38"/>
      <c r="BJ149" s="38"/>
      <c r="BK149" s="38"/>
      <c r="BL149" s="38"/>
      <c r="BM149" s="38"/>
      <c r="BN149" s="38"/>
      <c r="BO149" s="38"/>
      <c r="BP149" s="38"/>
      <c r="BQ149" s="38"/>
      <c r="BR149" s="38"/>
      <c r="BS149" s="38"/>
      <c r="BT149" s="38"/>
      <c r="BU149" s="38"/>
      <c r="BV149" s="38"/>
      <c r="BW149" s="38"/>
      <c r="BX149" s="38"/>
      <c r="BY149" s="38"/>
      <c r="BZ149" s="38"/>
      <c r="CA149" s="38"/>
      <c r="CB149" s="38"/>
      <c r="CC149" s="38"/>
      <c r="CD149" s="38"/>
      <c r="CE149" s="38"/>
      <c r="CF149" s="38"/>
      <c r="CG149" s="38"/>
      <c r="CH149" s="38"/>
      <c r="CI149" s="38"/>
      <c r="CJ149" s="38"/>
      <c r="CK149" s="38"/>
      <c r="CL149" s="38"/>
      <c r="CM149" s="38"/>
      <c r="CN149" s="38"/>
      <c r="CO149" s="38"/>
      <c r="CP149" s="38"/>
      <c r="CQ149" s="38"/>
      <c r="CR149" s="38"/>
      <c r="CS149" s="38"/>
      <c r="CT149" s="38"/>
      <c r="CU149" s="38"/>
      <c r="CV149" s="38"/>
      <c r="CW149" s="38"/>
      <c r="CX149" s="38"/>
      <c r="CY149" s="38"/>
      <c r="CZ149" s="38"/>
      <c r="DA149" s="38"/>
      <c r="DB149" s="38"/>
      <c r="DC149" s="38"/>
      <c r="DD149" s="38"/>
      <c r="DE149" s="38"/>
      <c r="DF149" s="38"/>
      <c r="DG149" s="38"/>
      <c r="DH149" s="38"/>
      <c r="DI149" s="38"/>
      <c r="DJ149" s="38"/>
      <c r="DK149" s="38"/>
      <c r="DL149" s="38"/>
      <c r="DM149" s="38"/>
      <c r="DN149" s="38"/>
      <c r="DO149" s="38"/>
      <c r="DP149" s="38"/>
      <c r="DQ149" s="38"/>
      <c r="DR149" s="38"/>
      <c r="DS149" s="38"/>
      <c r="DT149" s="38"/>
      <c r="DU149" s="38"/>
      <c r="DV149" s="38"/>
      <c r="DW149" s="38"/>
      <c r="DX149" s="38"/>
      <c r="DY149" s="38"/>
      <c r="DZ149" s="38"/>
      <c r="EA149" s="38"/>
      <c r="EB149" s="38"/>
      <c r="EC149" s="38"/>
      <c r="ED149" s="38"/>
      <c r="EE149" s="38"/>
      <c r="EF149" s="38"/>
      <c r="EG149" s="38"/>
      <c r="EH149" s="38"/>
      <c r="EI149" s="38"/>
      <c r="EJ149" s="38"/>
      <c r="EK149" s="38"/>
      <c r="EL149" s="38"/>
      <c r="EM149" s="38"/>
    </row>
    <row r="150" spans="2:143" x14ac:dyDescent="0.3">
      <c r="B150" s="38"/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/>
      <c r="V150" s="38"/>
      <c r="W150" s="38"/>
      <c r="X150" s="38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8"/>
      <c r="BH150" s="38"/>
      <c r="BI150" s="38"/>
      <c r="BJ150" s="38"/>
      <c r="BK150" s="38"/>
      <c r="BL150" s="38"/>
      <c r="BM150" s="38"/>
      <c r="BN150" s="38"/>
      <c r="BO150" s="38"/>
      <c r="BP150" s="38"/>
      <c r="BQ150" s="38"/>
      <c r="BR150" s="38"/>
      <c r="BS150" s="38"/>
      <c r="BT150" s="38"/>
      <c r="BU150" s="38"/>
      <c r="BV150" s="38"/>
      <c r="BW150" s="38"/>
      <c r="BX150" s="38"/>
      <c r="BY150" s="38"/>
      <c r="BZ150" s="38"/>
      <c r="CA150" s="38"/>
      <c r="CB150" s="38"/>
      <c r="CC150" s="38"/>
      <c r="CD150" s="38"/>
      <c r="CE150" s="38"/>
      <c r="CF150" s="38"/>
      <c r="CG150" s="38"/>
      <c r="CH150" s="38"/>
      <c r="CI150" s="38"/>
      <c r="CJ150" s="38"/>
      <c r="CK150" s="38"/>
      <c r="CL150" s="38"/>
      <c r="CM150" s="38"/>
      <c r="CN150" s="38"/>
      <c r="CO150" s="38"/>
      <c r="CP150" s="38"/>
      <c r="CQ150" s="38"/>
      <c r="CR150" s="38"/>
      <c r="CS150" s="38"/>
      <c r="CT150" s="38"/>
      <c r="CU150" s="38"/>
      <c r="CV150" s="38"/>
      <c r="CW150" s="38"/>
      <c r="CX150" s="38"/>
      <c r="CY150" s="38"/>
      <c r="CZ150" s="38"/>
      <c r="DA150" s="38"/>
      <c r="DB150" s="38"/>
      <c r="DC150" s="38"/>
      <c r="DD150" s="38"/>
      <c r="DE150" s="38"/>
      <c r="DF150" s="38"/>
      <c r="DG150" s="38"/>
      <c r="DH150" s="38"/>
      <c r="DI150" s="38"/>
      <c r="DJ150" s="38"/>
      <c r="DK150" s="38"/>
      <c r="DL150" s="38"/>
      <c r="DM150" s="38"/>
      <c r="DN150" s="38"/>
      <c r="DO150" s="38"/>
      <c r="DP150" s="38"/>
      <c r="DQ150" s="38"/>
      <c r="DR150" s="38"/>
      <c r="DS150" s="38"/>
      <c r="DT150" s="38"/>
      <c r="DU150" s="38"/>
      <c r="DV150" s="38"/>
      <c r="DW150" s="38"/>
      <c r="DX150" s="38"/>
      <c r="DY150" s="38"/>
      <c r="DZ150" s="38"/>
      <c r="EA150" s="38"/>
      <c r="EB150" s="38"/>
      <c r="EC150" s="38"/>
      <c r="ED150" s="38"/>
      <c r="EE150" s="38"/>
      <c r="EF150" s="38"/>
      <c r="EG150" s="38"/>
      <c r="EH150" s="38"/>
      <c r="EI150" s="38"/>
      <c r="EJ150" s="38"/>
      <c r="EK150" s="38"/>
      <c r="EL150" s="38"/>
      <c r="EM150" s="38"/>
    </row>
    <row r="151" spans="2:143" x14ac:dyDescent="0.3"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8"/>
      <c r="BH151" s="38"/>
      <c r="BI151" s="38"/>
      <c r="BJ151" s="38"/>
      <c r="BK151" s="38"/>
      <c r="BL151" s="38"/>
      <c r="BM151" s="38"/>
      <c r="BN151" s="38"/>
      <c r="BO151" s="38"/>
      <c r="BP151" s="38"/>
      <c r="BQ151" s="38"/>
      <c r="BR151" s="38"/>
      <c r="BS151" s="38"/>
      <c r="BT151" s="38"/>
      <c r="BU151" s="38"/>
      <c r="BV151" s="38"/>
      <c r="BW151" s="38"/>
      <c r="BX151" s="38"/>
      <c r="BY151" s="38"/>
      <c r="BZ151" s="38"/>
      <c r="CA151" s="38"/>
      <c r="CB151" s="38"/>
      <c r="CC151" s="38"/>
      <c r="CD151" s="38"/>
      <c r="CE151" s="38"/>
      <c r="CF151" s="38"/>
      <c r="CG151" s="38"/>
      <c r="CH151" s="38"/>
      <c r="CI151" s="38"/>
      <c r="CJ151" s="38"/>
      <c r="CK151" s="38"/>
      <c r="CL151" s="38"/>
      <c r="CM151" s="38"/>
      <c r="CN151" s="38"/>
      <c r="CO151" s="38"/>
      <c r="CP151" s="38"/>
      <c r="CQ151" s="38"/>
      <c r="CR151" s="38"/>
      <c r="CS151" s="38"/>
      <c r="CT151" s="38"/>
      <c r="CU151" s="38"/>
      <c r="CV151" s="38"/>
      <c r="CW151" s="38"/>
      <c r="CX151" s="38"/>
      <c r="CY151" s="38"/>
      <c r="CZ151" s="38"/>
      <c r="DA151" s="38"/>
      <c r="DB151" s="38"/>
      <c r="DC151" s="38"/>
      <c r="DD151" s="38"/>
      <c r="DE151" s="38"/>
      <c r="DF151" s="38"/>
      <c r="DG151" s="38"/>
      <c r="DH151" s="38"/>
      <c r="DI151" s="38"/>
      <c r="DJ151" s="38"/>
      <c r="DK151" s="38"/>
      <c r="DL151" s="38"/>
      <c r="DM151" s="38"/>
      <c r="DN151" s="38"/>
      <c r="DO151" s="38"/>
      <c r="DP151" s="38"/>
      <c r="DQ151" s="38"/>
      <c r="DR151" s="38"/>
      <c r="DS151" s="38"/>
      <c r="DT151" s="38"/>
      <c r="DU151" s="38"/>
      <c r="DV151" s="38"/>
      <c r="DW151" s="38"/>
      <c r="DX151" s="38"/>
      <c r="DY151" s="38"/>
      <c r="DZ151" s="38"/>
      <c r="EA151" s="38"/>
      <c r="EB151" s="38"/>
      <c r="EC151" s="38"/>
      <c r="ED151" s="38"/>
      <c r="EE151" s="38"/>
      <c r="EF151" s="38"/>
      <c r="EG151" s="38"/>
      <c r="EH151" s="38"/>
      <c r="EI151" s="38"/>
      <c r="EJ151" s="38"/>
      <c r="EK151" s="38"/>
      <c r="EL151" s="38"/>
      <c r="EM151" s="38"/>
    </row>
    <row r="152" spans="2:143" x14ac:dyDescent="0.3">
      <c r="B152" s="38"/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/>
      <c r="V152" s="38"/>
      <c r="W152" s="38"/>
      <c r="X152" s="38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8"/>
      <c r="BH152" s="38"/>
      <c r="BI152" s="38"/>
      <c r="BJ152" s="38"/>
      <c r="BK152" s="38"/>
      <c r="BL152" s="38"/>
      <c r="BM152" s="38"/>
      <c r="BN152" s="38"/>
      <c r="BO152" s="38"/>
      <c r="BP152" s="38"/>
      <c r="BQ152" s="38"/>
      <c r="BR152" s="38"/>
      <c r="BS152" s="38"/>
      <c r="BT152" s="38"/>
      <c r="BU152" s="38"/>
      <c r="BV152" s="38"/>
      <c r="BW152" s="38"/>
      <c r="BX152" s="38"/>
      <c r="BY152" s="38"/>
      <c r="BZ152" s="38"/>
      <c r="CA152" s="38"/>
      <c r="CB152" s="38"/>
      <c r="CC152" s="38"/>
      <c r="CD152" s="38"/>
      <c r="CE152" s="38"/>
      <c r="CF152" s="38"/>
      <c r="CG152" s="38"/>
      <c r="CH152" s="38"/>
      <c r="CI152" s="38"/>
      <c r="CJ152" s="38"/>
      <c r="CK152" s="38"/>
      <c r="CL152" s="38"/>
      <c r="CM152" s="38"/>
      <c r="CN152" s="38"/>
      <c r="CO152" s="38"/>
      <c r="CP152" s="38"/>
      <c r="CQ152" s="38"/>
      <c r="CR152" s="38"/>
      <c r="CS152" s="38"/>
      <c r="CT152" s="38"/>
      <c r="CU152" s="38"/>
      <c r="CV152" s="38"/>
      <c r="CW152" s="38"/>
      <c r="CX152" s="38"/>
      <c r="CY152" s="38"/>
      <c r="CZ152" s="38"/>
      <c r="DA152" s="38"/>
      <c r="DB152" s="38"/>
      <c r="DC152" s="38"/>
      <c r="DD152" s="38"/>
      <c r="DE152" s="38"/>
      <c r="DF152" s="38"/>
      <c r="DG152" s="38"/>
      <c r="DH152" s="38"/>
      <c r="DI152" s="38"/>
      <c r="DJ152" s="38"/>
      <c r="DK152" s="38"/>
      <c r="DL152" s="38"/>
      <c r="DM152" s="38"/>
      <c r="DN152" s="38"/>
      <c r="DO152" s="38"/>
      <c r="DP152" s="38"/>
      <c r="DQ152" s="38"/>
      <c r="DR152" s="38"/>
      <c r="DS152" s="38"/>
      <c r="DT152" s="38"/>
      <c r="DU152" s="38"/>
      <c r="DV152" s="38"/>
      <c r="DW152" s="38"/>
      <c r="DX152" s="38"/>
      <c r="DY152" s="38"/>
      <c r="DZ152" s="38"/>
      <c r="EA152" s="38"/>
      <c r="EB152" s="38"/>
      <c r="EC152" s="38"/>
      <c r="ED152" s="38"/>
      <c r="EE152" s="38"/>
      <c r="EF152" s="38"/>
      <c r="EG152" s="38"/>
      <c r="EH152" s="38"/>
      <c r="EI152" s="38"/>
      <c r="EJ152" s="38"/>
      <c r="EK152" s="38"/>
      <c r="EL152" s="38"/>
      <c r="EM152" s="38"/>
    </row>
    <row r="153" spans="2:143" x14ac:dyDescent="0.3">
      <c r="B153" s="38"/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8"/>
      <c r="BH153" s="38"/>
      <c r="BI153" s="38"/>
      <c r="BJ153" s="38"/>
      <c r="BK153" s="38"/>
      <c r="BL153" s="38"/>
      <c r="BM153" s="38"/>
      <c r="BN153" s="38"/>
      <c r="BO153" s="38"/>
      <c r="BP153" s="38"/>
      <c r="BQ153" s="38"/>
      <c r="BR153" s="38"/>
      <c r="BS153" s="38"/>
      <c r="BT153" s="38"/>
      <c r="BU153" s="38"/>
      <c r="BV153" s="38"/>
      <c r="BW153" s="38"/>
      <c r="BX153" s="38"/>
      <c r="BY153" s="38"/>
      <c r="BZ153" s="38"/>
      <c r="CA153" s="38"/>
      <c r="CB153" s="38"/>
      <c r="CC153" s="38"/>
      <c r="CD153" s="38"/>
      <c r="CE153" s="38"/>
      <c r="CF153" s="38"/>
      <c r="CG153" s="38"/>
      <c r="CH153" s="38"/>
      <c r="CI153" s="38"/>
      <c r="CJ153" s="38"/>
      <c r="CK153" s="38"/>
      <c r="CL153" s="38"/>
      <c r="CM153" s="38"/>
      <c r="CN153" s="38"/>
      <c r="CO153" s="38"/>
      <c r="CP153" s="38"/>
      <c r="CQ153" s="38"/>
      <c r="CR153" s="38"/>
      <c r="CS153" s="38"/>
      <c r="CT153" s="38"/>
      <c r="CU153" s="38"/>
      <c r="CV153" s="38"/>
      <c r="CW153" s="38"/>
      <c r="CX153" s="38"/>
      <c r="CY153" s="38"/>
      <c r="CZ153" s="38"/>
      <c r="DA153" s="38"/>
      <c r="DB153" s="38"/>
      <c r="DC153" s="38"/>
      <c r="DD153" s="38"/>
      <c r="DE153" s="38"/>
      <c r="DF153" s="38"/>
      <c r="DG153" s="38"/>
      <c r="DH153" s="38"/>
      <c r="DI153" s="38"/>
      <c r="DJ153" s="38"/>
      <c r="DK153" s="38"/>
      <c r="DL153" s="38"/>
      <c r="DM153" s="38"/>
      <c r="DN153" s="38"/>
      <c r="DO153" s="38"/>
      <c r="DP153" s="38"/>
      <c r="DQ153" s="38"/>
      <c r="DR153" s="38"/>
      <c r="DS153" s="38"/>
      <c r="DT153" s="38"/>
      <c r="DU153" s="38"/>
      <c r="DV153" s="38"/>
      <c r="DW153" s="38"/>
      <c r="DX153" s="38"/>
      <c r="DY153" s="38"/>
      <c r="DZ153" s="38"/>
      <c r="EA153" s="38"/>
      <c r="EB153" s="38"/>
      <c r="EC153" s="38"/>
      <c r="ED153" s="38"/>
      <c r="EE153" s="38"/>
      <c r="EF153" s="38"/>
      <c r="EG153" s="38"/>
      <c r="EH153" s="38"/>
      <c r="EI153" s="38"/>
      <c r="EJ153" s="38"/>
      <c r="EK153" s="38"/>
      <c r="EL153" s="38"/>
      <c r="EM153" s="38"/>
    </row>
    <row r="154" spans="2:143" x14ac:dyDescent="0.3">
      <c r="B154" s="38"/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8"/>
      <c r="V154" s="38"/>
      <c r="W154" s="38"/>
      <c r="X154" s="38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8"/>
      <c r="BH154" s="38"/>
      <c r="BI154" s="38"/>
      <c r="BJ154" s="38"/>
      <c r="BK154" s="38"/>
      <c r="BL154" s="38"/>
      <c r="BM154" s="38"/>
      <c r="BN154" s="38"/>
      <c r="BO154" s="38"/>
      <c r="BP154" s="38"/>
      <c r="BQ154" s="38"/>
      <c r="BR154" s="38"/>
      <c r="BS154" s="38"/>
      <c r="BT154" s="38"/>
      <c r="BU154" s="38"/>
      <c r="BV154" s="38"/>
      <c r="BW154" s="38"/>
      <c r="BX154" s="38"/>
      <c r="BY154" s="38"/>
      <c r="BZ154" s="38"/>
      <c r="CA154" s="38"/>
      <c r="CB154" s="38"/>
      <c r="CC154" s="38"/>
      <c r="CD154" s="38"/>
      <c r="CE154" s="38"/>
      <c r="CF154" s="38"/>
      <c r="CG154" s="38"/>
      <c r="CH154" s="38"/>
      <c r="CI154" s="38"/>
      <c r="CJ154" s="38"/>
      <c r="CK154" s="38"/>
      <c r="CL154" s="38"/>
      <c r="CM154" s="38"/>
      <c r="CN154" s="38"/>
      <c r="CO154" s="38"/>
      <c r="CP154" s="38"/>
      <c r="CQ154" s="38"/>
      <c r="CR154" s="38"/>
      <c r="CS154" s="38"/>
      <c r="CT154" s="38"/>
      <c r="CU154" s="38"/>
      <c r="CV154" s="38"/>
      <c r="CW154" s="38"/>
      <c r="CX154" s="38"/>
      <c r="CY154" s="38"/>
      <c r="CZ154" s="38"/>
      <c r="DA154" s="38"/>
      <c r="DB154" s="38"/>
      <c r="DC154" s="38"/>
      <c r="DD154" s="38"/>
      <c r="DE154" s="38"/>
      <c r="DF154" s="38"/>
      <c r="DG154" s="38"/>
      <c r="DH154" s="38"/>
      <c r="DI154" s="38"/>
      <c r="DJ154" s="38"/>
      <c r="DK154" s="38"/>
      <c r="DL154" s="38"/>
      <c r="DM154" s="38"/>
      <c r="DN154" s="38"/>
      <c r="DO154" s="38"/>
      <c r="DP154" s="38"/>
      <c r="DQ154" s="38"/>
      <c r="DR154" s="38"/>
      <c r="DS154" s="38"/>
      <c r="DT154" s="38"/>
      <c r="DU154" s="38"/>
      <c r="DV154" s="38"/>
      <c r="DW154" s="38"/>
      <c r="DX154" s="38"/>
      <c r="DY154" s="38"/>
      <c r="DZ154" s="38"/>
      <c r="EA154" s="38"/>
      <c r="EB154" s="38"/>
      <c r="EC154" s="38"/>
      <c r="ED154" s="38"/>
      <c r="EE154" s="38"/>
      <c r="EF154" s="38"/>
      <c r="EG154" s="38"/>
      <c r="EH154" s="38"/>
      <c r="EI154" s="38"/>
      <c r="EJ154" s="38"/>
      <c r="EK154" s="38"/>
      <c r="EL154" s="38"/>
      <c r="EM154" s="38"/>
    </row>
    <row r="155" spans="2:143" x14ac:dyDescent="0.3">
      <c r="B155" s="38"/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8"/>
      <c r="BH155" s="38"/>
      <c r="BI155" s="38"/>
      <c r="BJ155" s="38"/>
      <c r="BK155" s="38"/>
      <c r="BL155" s="38"/>
      <c r="BM155" s="38"/>
      <c r="BN155" s="38"/>
      <c r="BO155" s="38"/>
      <c r="BP155" s="38"/>
      <c r="BQ155" s="38"/>
      <c r="BR155" s="38"/>
      <c r="BS155" s="38"/>
      <c r="BT155" s="38"/>
      <c r="BU155" s="38"/>
      <c r="BV155" s="38"/>
      <c r="BW155" s="38"/>
      <c r="BX155" s="38"/>
      <c r="BY155" s="38"/>
      <c r="BZ155" s="38"/>
      <c r="CA155" s="38"/>
      <c r="CB155" s="38"/>
      <c r="CC155" s="38"/>
      <c r="CD155" s="38"/>
      <c r="CE155" s="38"/>
      <c r="CF155" s="38"/>
      <c r="CG155" s="38"/>
      <c r="CH155" s="38"/>
      <c r="CI155" s="38"/>
      <c r="CJ155" s="38"/>
      <c r="CK155" s="38"/>
      <c r="CL155" s="38"/>
      <c r="CM155" s="38"/>
      <c r="CN155" s="38"/>
      <c r="CO155" s="38"/>
      <c r="CP155" s="38"/>
      <c r="CQ155" s="38"/>
      <c r="CR155" s="38"/>
      <c r="CS155" s="38"/>
      <c r="CT155" s="38"/>
      <c r="CU155" s="38"/>
      <c r="CV155" s="38"/>
      <c r="CW155" s="38"/>
      <c r="CX155" s="38"/>
      <c r="CY155" s="38"/>
      <c r="CZ155" s="38"/>
      <c r="DA155" s="38"/>
      <c r="DB155" s="38"/>
      <c r="DC155" s="38"/>
      <c r="DD155" s="38"/>
      <c r="DE155" s="38"/>
      <c r="DF155" s="38"/>
      <c r="DG155" s="38"/>
      <c r="DH155" s="38"/>
      <c r="DI155" s="38"/>
      <c r="DJ155" s="38"/>
      <c r="DK155" s="38"/>
      <c r="DL155" s="38"/>
      <c r="DM155" s="38"/>
      <c r="DN155" s="38"/>
      <c r="DO155" s="38"/>
      <c r="DP155" s="38"/>
      <c r="DQ155" s="38"/>
      <c r="DR155" s="38"/>
      <c r="DS155" s="38"/>
      <c r="DT155" s="38"/>
      <c r="DU155" s="38"/>
      <c r="DV155" s="38"/>
      <c r="DW155" s="38"/>
      <c r="DX155" s="38"/>
      <c r="DY155" s="38"/>
      <c r="DZ155" s="38"/>
      <c r="EA155" s="38"/>
      <c r="EB155" s="38"/>
      <c r="EC155" s="38"/>
      <c r="ED155" s="38"/>
      <c r="EE155" s="38"/>
      <c r="EF155" s="38"/>
      <c r="EG155" s="38"/>
      <c r="EH155" s="38"/>
      <c r="EI155" s="38"/>
      <c r="EJ155" s="38"/>
      <c r="EK155" s="38"/>
      <c r="EL155" s="38"/>
      <c r="EM155" s="38"/>
    </row>
    <row r="156" spans="2:143" x14ac:dyDescent="0.3">
      <c r="B156" s="38"/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8"/>
      <c r="BH156" s="38"/>
      <c r="BI156" s="38"/>
      <c r="BJ156" s="38"/>
      <c r="BK156" s="38"/>
      <c r="BL156" s="38"/>
      <c r="BM156" s="38"/>
      <c r="BN156" s="38"/>
      <c r="BO156" s="38"/>
      <c r="BP156" s="38"/>
      <c r="BQ156" s="38"/>
      <c r="BR156" s="38"/>
      <c r="BS156" s="38"/>
      <c r="BT156" s="38"/>
      <c r="BU156" s="38"/>
      <c r="BV156" s="38"/>
      <c r="BW156" s="38"/>
      <c r="BX156" s="38"/>
      <c r="BY156" s="38"/>
      <c r="BZ156" s="38"/>
      <c r="CA156" s="38"/>
      <c r="CB156" s="38"/>
      <c r="CC156" s="38"/>
      <c r="CD156" s="38"/>
      <c r="CE156" s="38"/>
      <c r="CF156" s="38"/>
      <c r="CG156" s="38"/>
      <c r="CH156" s="38"/>
      <c r="CI156" s="38"/>
      <c r="CJ156" s="38"/>
      <c r="CK156" s="38"/>
      <c r="CL156" s="38"/>
      <c r="CM156" s="38"/>
      <c r="CN156" s="38"/>
      <c r="CO156" s="38"/>
      <c r="CP156" s="38"/>
      <c r="CQ156" s="38"/>
      <c r="CR156" s="38"/>
      <c r="CS156" s="38"/>
      <c r="CT156" s="38"/>
      <c r="CU156" s="38"/>
      <c r="CV156" s="38"/>
      <c r="CW156" s="38"/>
      <c r="CX156" s="38"/>
      <c r="CY156" s="38"/>
      <c r="CZ156" s="38"/>
      <c r="DA156" s="38"/>
      <c r="DB156" s="38"/>
      <c r="DC156" s="38"/>
      <c r="DD156" s="38"/>
      <c r="DE156" s="38"/>
      <c r="DF156" s="38"/>
      <c r="DG156" s="38"/>
      <c r="DH156" s="38"/>
      <c r="DI156" s="38"/>
      <c r="DJ156" s="38"/>
      <c r="DK156" s="38"/>
      <c r="DL156" s="38"/>
      <c r="DM156" s="38"/>
      <c r="DN156" s="38"/>
      <c r="DO156" s="38"/>
      <c r="DP156" s="38"/>
      <c r="DQ156" s="38"/>
      <c r="DR156" s="38"/>
      <c r="DS156" s="38"/>
      <c r="DT156" s="38"/>
      <c r="DU156" s="38"/>
      <c r="DV156" s="38"/>
      <c r="DW156" s="38"/>
      <c r="DX156" s="38"/>
      <c r="DY156" s="38"/>
      <c r="DZ156" s="38"/>
      <c r="EA156" s="38"/>
      <c r="EB156" s="38"/>
      <c r="EC156" s="38"/>
      <c r="ED156" s="38"/>
      <c r="EE156" s="38"/>
      <c r="EF156" s="38"/>
      <c r="EG156" s="38"/>
      <c r="EH156" s="38"/>
      <c r="EI156" s="38"/>
      <c r="EJ156" s="38"/>
      <c r="EK156" s="38"/>
      <c r="EL156" s="38"/>
      <c r="EM156" s="38"/>
    </row>
  </sheetData>
  <mergeCells count="1">
    <mergeCell ref="D2:U2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Rafael Oliveira</cp:lastModifiedBy>
  <dcterms:created xsi:type="dcterms:W3CDTF">2024-12-19T13:13:10Z</dcterms:created>
  <dcterms:modified xsi:type="dcterms:W3CDTF">2026-02-14T15:18:01Z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SIP_Label_7294a1c8-9899-41e7-8f6e-8b1b3c79592a_Enabled">
    <vt:lpwstr>true</vt:lpwstr>
  </property>
  <property fmtid="{D5CDD505-2E9C-101B-9397-08002B2CF9AE}" pid="4" name="MSIP_Label_7294a1c8-9899-41e7-8f6e-8b1b3c79592a_SetDate">
    <vt:lpwstr>2026-02-13T07:20:39Z</vt:lpwstr>
  </property>
  <property fmtid="{D5CDD505-2E9C-101B-9397-08002B2CF9AE}" pid="5" name="MSIP_Label_7294a1c8-9899-41e7-8f6e-8b1b3c79592a_Method">
    <vt:lpwstr>Privileged</vt:lpwstr>
  </property>
  <property fmtid="{D5CDD505-2E9C-101B-9397-08002B2CF9AE}" pid="6" name="MSIP_Label_7294a1c8-9899-41e7-8f6e-8b1b3c79592a_Name">
    <vt:lpwstr>Internal sub2 (no marking)</vt:lpwstr>
  </property>
  <property fmtid="{D5CDD505-2E9C-101B-9397-08002B2CF9AE}" pid="7" name="MSIP_Label_7294a1c8-9899-41e7-8f6e-8b1b3c79592a_SiteId">
    <vt:lpwstr>eb70b763-b6d7-4486-8555-8831709a784e</vt:lpwstr>
  </property>
  <property fmtid="{D5CDD505-2E9C-101B-9397-08002B2CF9AE}" pid="8" name="MSIP_Label_7294a1c8-9899-41e7-8f6e-8b1b3c79592a_ActionId">
    <vt:lpwstr>9c78bcf5-014a-4c40-9345-91df06c76cbe</vt:lpwstr>
  </property>
  <property fmtid="{D5CDD505-2E9C-101B-9397-08002B2CF9AE}" pid="9" name="MSIP_Label_7294a1c8-9899-41e7-8f6e-8b1b3c79592a_ContentBits">
    <vt:lpwstr>0</vt:lpwstr>
  </property>
  <property fmtid="{D5CDD505-2E9C-101B-9397-08002B2CF9AE}" pid="10" name="MSIP_Label_7294a1c8-9899-41e7-8f6e-8b1b3c79592a_Tag">
    <vt:lpwstr>10, 0, 1, 1</vt:lpwstr>
  </property>
</Properties>
</file>