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16e5466c0188914/Área de Trabalho/"/>
    </mc:Choice>
  </mc:AlternateContent>
  <xr:revisionPtr revIDLastSave="2285" documentId="8_{E0A83B33-44DB-4BF7-BCA0-D90015E65135}" xr6:coauthVersionLast="47" xr6:coauthVersionMax="47" xr10:uidLastSave="{58FED85F-4742-4F7C-8F1F-8F011FCC932E}"/>
  <bookViews>
    <workbookView xWindow="-108" yWindow="-108" windowWidth="23256" windowHeight="12456" xr2:uid="{8790DE60-A8C5-4343-B1C8-2E153AED45A1}"/>
  </bookViews>
  <sheets>
    <sheet name="Plano de Investimento" sheetId="1" r:id="rId1"/>
    <sheet name="Tabela de Apoio Chaves" sheetId="2" r:id="rId2"/>
  </sheets>
  <definedNames>
    <definedName name="aporte_divers">'Plano de Investimento'!$F$37</definedName>
    <definedName name="aporte_rendafix">'Plano de Investimento'!$F$18</definedName>
    <definedName name="aporte_rendavar">'Plano de Investimento'!$F$26</definedName>
    <definedName name="dividendo_10">'Plano de Investimento'!$E$31</definedName>
    <definedName name="dividendo_1o">'Plano de Investimento'!$E$31</definedName>
    <definedName name="dividendo_2">'Plano de Investimento'!$E$29</definedName>
    <definedName name="dividendo_20">'Plano de Investimento'!$E$32</definedName>
    <definedName name="dividendo_30">'Plano de Investimento'!$E$33</definedName>
    <definedName name="dividendo_5">'Plano de Investimento'!$E$30</definedName>
    <definedName name="DY_rendavar">'Plano de Investimento'!$E$26</definedName>
    <definedName name="periodo_rendafix">'Plano de Investimento'!$D$18</definedName>
    <definedName name="rendimento_10_rendavar">'Plano de Investimento'!$D$31</definedName>
    <definedName name="rendimento_2_rendavar">'Plano de Investimento'!$D$29</definedName>
    <definedName name="rendimento_20_rendavar">'Plano de Investimento'!$D$32</definedName>
    <definedName name="rendimento_30_rendavar">'Plano de Investimento'!$D$33</definedName>
    <definedName name="rendimento_5_rendavar">'Plano de Investimento'!$D$30</definedName>
    <definedName name="rendimento_rendafix">'Plano de Investimento'!$D$19</definedName>
    <definedName name="rendimento_rendavar">'Plano de Investimento'!$C$26</definedName>
    <definedName name="reserva_rendavar">'Plano de Investimento'!$E$25</definedName>
    <definedName name="salario">'Plano de Investimento'!$C$25</definedName>
    <definedName name="valor_mensal_10">'Plano de Investimento'!$C$31</definedName>
    <definedName name="valor_mensal_2">'Plano de Investimento'!$C$29</definedName>
    <definedName name="valor_mensal_20">'Plano de Investimento'!$C$32</definedName>
    <definedName name="valor_mensal_30">'Plano de Investimento'!$C$33</definedName>
    <definedName name="valor_mensal_5">'Plano de Investimento'!$C$30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D32" i="1" s="1"/>
  <c r="D21" i="1"/>
  <c r="F37" i="1" l="1"/>
  <c r="D31" i="1"/>
  <c r="C31" i="1" s="1"/>
  <c r="D30" i="1"/>
  <c r="E30" i="1" s="1"/>
  <c r="F30" i="1" s="1"/>
  <c r="E32" i="1"/>
  <c r="F32" i="1" s="1"/>
  <c r="C32" i="1"/>
  <c r="D29" i="1"/>
  <c r="D33" i="1"/>
  <c r="E31" i="1" l="1"/>
  <c r="F31" i="1" s="1"/>
  <c r="C30" i="1"/>
  <c r="E33" i="1"/>
  <c r="F33" i="1" s="1"/>
  <c r="C33" i="1"/>
  <c r="E29" i="1"/>
  <c r="F29" i="1" s="1"/>
  <c r="C29" i="1"/>
  <c r="E41" i="1"/>
  <c r="E42" i="1"/>
  <c r="E43" i="1"/>
  <c r="E44" i="1"/>
  <c r="E40" i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4" i="2"/>
  <c r="F41" i="1" l="1"/>
  <c r="F43" i="1" l="1"/>
  <c r="F42" i="1"/>
  <c r="F44" i="1"/>
  <c r="F40" i="1"/>
</calcChain>
</file>

<file path=xl/sharedStrings.xml><?xml version="1.0" encoding="utf-8"?>
<sst xmlns="http://schemas.openxmlformats.org/spreadsheetml/2006/main" count="75" uniqueCount="47">
  <si>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</si>
  <si>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</si>
  <si>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</si>
  <si>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</si>
  <si>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</si>
  <si>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</si>
  <si>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</si>
  <si>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TIPO DE FII</t>
  </si>
  <si>
    <t>Percentual Sugerido</t>
  </si>
  <si>
    <t>Valores</t>
  </si>
  <si>
    <t>Agressivo</t>
  </si>
  <si>
    <t>CHAVE</t>
  </si>
  <si>
    <t>%</t>
  </si>
  <si>
    <t>Conservador</t>
  </si>
  <si>
    <t>Nível de Risco</t>
  </si>
  <si>
    <t>Tipos de Investimentos</t>
  </si>
  <si>
    <t>Tesouro Selic; CDBs de grandes bancos; LCIs/LCAs; Fundos DI; Poupança</t>
  </si>
  <si>
    <t>ETFs amplos e diversificados; FIIs de tijolo; ações de grandes empresas (blue chips)</t>
  </si>
  <si>
    <t>Ações de empresas médias; FIIs de papel; ETFs setoriais; fundos de ações ativos</t>
  </si>
  <si>
    <t>Small caps; BDRs; commodities; derivativos simples (opções, futuros)</t>
  </si>
  <si>
    <t>Criptomoedas; derivativos alavancados; penny stocks</t>
  </si>
  <si>
    <t>Salário:</t>
  </si>
  <si>
    <t>Reserva para Investimento:</t>
  </si>
  <si>
    <t>Aporte:</t>
  </si>
  <si>
    <t>Período (anos):</t>
  </si>
  <si>
    <t>Investimento Mensal -Renda Fixa</t>
  </si>
  <si>
    <t>Investimento - Renda Variável</t>
  </si>
  <si>
    <t>TOTAL Renda + DY</t>
  </si>
  <si>
    <t>Valorização Carteira Variável (média mensal a longo prazo):</t>
  </si>
  <si>
    <t>Período</t>
  </si>
  <si>
    <t>Rendimento</t>
  </si>
  <si>
    <t>Dividendo Anual (DY)</t>
  </si>
  <si>
    <t>Aporte</t>
  </si>
  <si>
    <t>Valorização/Mês</t>
  </si>
  <si>
    <t>Rendimento Total no fim do período:</t>
  </si>
  <si>
    <t>Perfil de Investidor:</t>
  </si>
  <si>
    <t>Dividendo Anual                 (DY):</t>
  </si>
  <si>
    <t>Rendimento Mensal (situação a curto prazo):</t>
  </si>
  <si>
    <t>Configure o seu "Perfil de Investidor" e receba sugestão de Diversificação de sua Carteira</t>
  </si>
  <si>
    <t>Diversificação da Carteira de Investimentos</t>
  </si>
  <si>
    <t>Invest</t>
  </si>
  <si>
    <t xml:space="preserve">                      Rafa</t>
  </si>
  <si>
    <t>Simuladores de Investimentos</t>
  </si>
  <si>
    <t>Planejando seu futuro</t>
  </si>
  <si>
    <t>Simulação de de Investimento contante em Renda Fixa.                                                                                                                                                                  Ajuste os parâmetros "Período", "Rendimento Mensal" e "Aporte" para visualizar o resultado.</t>
  </si>
  <si>
    <t>Simulação de de Investimento a longo prazo em Renda Variável.                                                                                                                                                     Ajuste os parâmetros "Salário", "Reserva para Investimento", "Valorização" e "Dividendo Anual" para visualizar o resultado.</t>
  </si>
  <si>
    <t>Aporte por Mês: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</si>
</sst>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31" x14ac:knownFonts="1"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0"/>
      <name val="Tahoma"/>
      <family val="2"/>
    </font>
    <font>
      <b/>
      <sz val="26"/>
      <color theme="0"/>
      <name val="Segoe UI"/>
      <family val="2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Tahoma"/>
      <family val="2"/>
    </font>
    <font>
      <b/>
      <sz val="14"/>
      <color theme="0"/>
      <name val="Segoe UI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sz val="10"/>
      <color rgb="FF000000"/>
      <name val="Segoe UI"/>
      <family val="2"/>
    </font>
    <font>
      <sz val="11"/>
      <name val="Tahoma"/>
      <family val="2"/>
    </font>
    <font>
      <b/>
      <sz val="12"/>
      <color theme="1"/>
      <name val="Segoe UI"/>
      <family val="2"/>
    </font>
    <font>
      <sz val="12"/>
      <color theme="0"/>
      <name val="Segoe UI"/>
      <family val="2"/>
    </font>
    <font>
      <sz val="11"/>
      <color rgb="FFFF0000"/>
      <name val="Tahoma"/>
      <family val="2"/>
    </font>
    <font>
      <sz val="11"/>
      <color rgb="FF00B050"/>
      <name val="Tahoma"/>
      <family val="2"/>
    </font>
    <font>
      <b/>
      <sz val="22"/>
      <color theme="0"/>
      <name val="Segoe UI"/>
      <family val="2"/>
    </font>
    <font>
      <sz val="14"/>
      <name val="Segoe UI"/>
      <family val="2"/>
    </font>
    <font>
      <b/>
      <sz val="14"/>
      <color theme="0" tint="-4.9989318521683403E-2"/>
      <name val="Segoe UI"/>
      <family val="2"/>
    </font>
    <font>
      <sz val="12"/>
      <color rgb="FF000000"/>
      <name val="Segoe UI"/>
      <family val="2"/>
    </font>
    <font>
      <b/>
      <sz val="16"/>
      <color theme="0"/>
      <name val="Segoe UI"/>
      <family val="2"/>
    </font>
    <font>
      <sz val="14"/>
      <color theme="0"/>
      <name val="Segoe UI"/>
      <family val="2"/>
    </font>
    <font>
      <sz val="12"/>
      <color theme="1"/>
      <name val="Arial"/>
      <family val="2"/>
    </font>
    <font>
      <sz val="18"/>
      <color theme="1"/>
      <name val="Tahoma"/>
      <family val="2"/>
    </font>
    <font>
      <sz val="65"/>
      <color rgb="FF00B0F0"/>
      <name val="Trade Gothic Inline"/>
      <family val="2"/>
    </font>
    <font>
      <sz val="28"/>
      <color rgb="FF0070C0"/>
      <name val="STXingkai"/>
      <charset val="134"/>
    </font>
    <font>
      <sz val="20"/>
      <color theme="0"/>
      <name val="Tahoma"/>
      <family val="2"/>
    </font>
    <font>
      <b/>
      <sz val="18"/>
      <color theme="0"/>
      <name val="Verdana Pro Black"/>
      <family val="2"/>
    </font>
    <font>
      <i/>
      <sz val="14"/>
      <color theme="0"/>
      <name val="Verdana"/>
      <family val="2"/>
    </font>
    <font>
      <sz val="14"/>
      <color theme="0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rgb="FF000000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</patternFill>
    </fill>
    <fill>
      <patternFill patternType="solid">
        <fgColor rgb="FF77D7A7"/>
        <bgColor indexed="64"/>
      </patternFill>
    </fill>
    <fill>
      <patternFill patternType="solid">
        <fgColor rgb="FFC9EFDC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1EAA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4D5"/>
        <bgColor rgb="FF000000"/>
      </patternFill>
    </fill>
    <fill>
      <patternFill patternType="solid">
        <fgColor rgb="FFFFF4D5"/>
        <bgColor indexed="64"/>
      </patternFill>
    </fill>
    <fill>
      <patternFill patternType="solid">
        <fgColor theme="2" tint="-0.89999084444715716"/>
        <bgColor indexed="64"/>
      </patternFill>
    </fill>
  </fills>
  <borders count="6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8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8"/>
      </right>
      <top style="thick">
        <color theme="0"/>
      </top>
      <bottom style="thin">
        <color theme="0"/>
      </bottom>
      <diagonal/>
    </border>
    <border>
      <left style="thick">
        <color theme="8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8"/>
      </right>
      <top style="thin">
        <color theme="0"/>
      </top>
      <bottom style="thin">
        <color theme="0"/>
      </bottom>
      <diagonal/>
    </border>
    <border>
      <left style="thick">
        <color theme="8"/>
      </left>
      <right style="thin">
        <color theme="0"/>
      </right>
      <top style="thin">
        <color theme="0"/>
      </top>
      <bottom style="thick">
        <color theme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8"/>
      </bottom>
      <diagonal/>
    </border>
    <border>
      <left style="thin">
        <color theme="0"/>
      </left>
      <right style="thick">
        <color theme="8"/>
      </right>
      <top style="thin">
        <color theme="0"/>
      </top>
      <bottom style="thick">
        <color theme="8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 tint="0.39991454817346722"/>
      </left>
      <right style="thin">
        <color theme="0"/>
      </right>
      <top/>
      <bottom style="thin">
        <color theme="0"/>
      </bottom>
      <diagonal/>
    </border>
    <border>
      <left style="thick">
        <color theme="4" tint="0.399914548173467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 style="thick">
        <color theme="4" tint="0.39991454817346722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4" tint="0.39991454817346722"/>
      </right>
      <top/>
      <bottom style="thin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8"/>
      </right>
      <top/>
      <bottom style="thick">
        <color theme="0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4" tint="0.39994506668294322"/>
      </left>
      <right style="thick">
        <color theme="4" tint="0.39994506668294322"/>
      </right>
      <top style="thick">
        <color theme="4" tint="0.39994506668294322"/>
      </top>
      <bottom style="thick">
        <color theme="4" tint="0.39994506668294322"/>
      </bottom>
      <diagonal/>
    </border>
    <border>
      <left style="thick">
        <color theme="0"/>
      </left>
      <right style="thick">
        <color theme="4" tint="0.39991454817346722"/>
      </right>
      <top style="thick">
        <color theme="0"/>
      </top>
      <bottom style="thick">
        <color theme="0"/>
      </bottom>
      <diagonal/>
    </border>
    <border>
      <left style="thick">
        <color theme="4" tint="0.39991454817346722"/>
      </left>
      <right style="thin">
        <color theme="0"/>
      </right>
      <top style="thin">
        <color theme="0"/>
      </top>
      <bottom style="thick">
        <color theme="4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4" tint="0.39991454817346722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/>
      <diagonal/>
    </border>
    <border>
      <left style="thick">
        <color theme="4" tint="0.39982299264503923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4" tint="0.39982299264503923"/>
      </left>
      <right style="thin">
        <color theme="0"/>
      </right>
      <top style="thick">
        <color theme="0"/>
      </top>
      <bottom style="thick">
        <color theme="4" tint="0.39982299264503923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4" tint="0.39982299264503923"/>
      </bottom>
      <diagonal/>
    </border>
    <border>
      <left style="thin">
        <color theme="0"/>
      </left>
      <right/>
      <top style="thick">
        <color theme="0"/>
      </top>
      <bottom style="thick">
        <color theme="4" tint="0.39982299264503923"/>
      </bottom>
      <diagonal/>
    </border>
    <border>
      <left/>
      <right/>
      <top style="thick">
        <color theme="0"/>
      </top>
      <bottom style="thick">
        <color theme="4" tint="0.39982299264503923"/>
      </bottom>
      <diagonal/>
    </border>
    <border>
      <left/>
      <right style="thick">
        <color theme="4" tint="0.39979247413556324"/>
      </right>
      <top style="thick">
        <color theme="0"/>
      </top>
      <bottom style="thick">
        <color theme="4" tint="0.39982299264503923"/>
      </bottom>
      <diagonal/>
    </border>
    <border>
      <left/>
      <right/>
      <top/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 tint="-0.499984740745262"/>
      </right>
      <top style="thick">
        <color theme="0"/>
      </top>
      <bottom style="thick">
        <color theme="0"/>
      </bottom>
      <diagonal/>
    </border>
    <border>
      <left/>
      <right style="thick">
        <color theme="4" tint="0.39991454817346722"/>
      </right>
      <top style="thick">
        <color theme="4" tint="0.39991454817346722"/>
      </top>
      <bottom style="thin">
        <color theme="0"/>
      </bottom>
      <diagonal/>
    </border>
    <border>
      <left/>
      <right style="thick">
        <color theme="4" tint="0.39991454817346722"/>
      </right>
      <top style="thin">
        <color theme="0"/>
      </top>
      <bottom/>
      <diagonal/>
    </border>
    <border>
      <left/>
      <right style="thick">
        <color theme="4" tint="0.39982299264503923"/>
      </right>
      <top/>
      <bottom style="thick">
        <color theme="0"/>
      </bottom>
      <diagonal/>
    </border>
    <border>
      <left/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 style="thick">
        <color theme="8"/>
      </left>
      <right style="thick">
        <color theme="0"/>
      </right>
      <top/>
      <bottom style="thick">
        <color theme="0"/>
      </bottom>
      <diagonal/>
    </border>
    <border>
      <left style="thick">
        <color theme="8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8"/>
      </right>
      <top style="thick">
        <color theme="0"/>
      </top>
      <bottom style="thick">
        <color theme="0"/>
      </bottom>
      <diagonal/>
    </border>
    <border>
      <left style="thick">
        <color theme="8"/>
      </left>
      <right style="thick">
        <color theme="0"/>
      </right>
      <top style="thick">
        <color theme="8"/>
      </top>
      <bottom style="thick">
        <color theme="0"/>
      </bottom>
      <diagonal/>
    </border>
    <border>
      <left style="thick">
        <color theme="0"/>
      </left>
      <right style="thick">
        <color theme="8"/>
      </right>
      <top style="thick">
        <color theme="8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  <xf numFmtId="44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10" borderId="0" applyNumberFormat="0" applyBorder="0" applyAlignment="0" applyProtection="0"/>
  </cellStyleXfs>
  <cellXfs count="118">
    <xf numFmtId="0" fontId="0" fillId="0" borderId="0" xfId="0"/>
    <xf numFmtId="0" fontId="0" fillId="5" borderId="0" xfId="0" applyFill="1"/>
    <xf numFmtId="0" fontId="6" fillId="8" borderId="0" xfId="0" applyFont="1" applyFill="1"/>
    <xf numFmtId="0" fontId="6" fillId="8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5" borderId="0" xfId="0" applyFont="1" applyFill="1"/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/>
    </xf>
    <xf numFmtId="9" fontId="12" fillId="11" borderId="2" xfId="1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9" fontId="12" fillId="14" borderId="2" xfId="1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9" fontId="12" fillId="13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9" fillId="12" borderId="7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9" fillId="15" borderId="9" xfId="0" applyFont="1" applyFill="1" applyBorder="1" applyAlignment="1">
      <alignment horizontal="center" vertical="center" wrapText="1"/>
    </xf>
    <xf numFmtId="9" fontId="10" fillId="18" borderId="5" xfId="0" applyNumberFormat="1" applyFont="1" applyFill="1" applyBorder="1" applyAlignment="1">
      <alignment horizontal="center" vertical="center" wrapText="1"/>
    </xf>
    <xf numFmtId="9" fontId="10" fillId="18" borderId="1" xfId="0" applyNumberFormat="1" applyFont="1" applyFill="1" applyBorder="1" applyAlignment="1">
      <alignment horizontal="center" vertical="center" wrapText="1"/>
    </xf>
    <xf numFmtId="9" fontId="10" fillId="18" borderId="12" xfId="0" applyNumberFormat="1" applyFont="1" applyFill="1" applyBorder="1" applyAlignment="1">
      <alignment horizontal="center" vertical="center" wrapText="1"/>
    </xf>
    <xf numFmtId="8" fontId="13" fillId="5" borderId="0" xfId="0" applyNumberFormat="1" applyFont="1" applyFill="1" applyAlignment="1">
      <alignment vertical="center"/>
    </xf>
    <xf numFmtId="0" fontId="17" fillId="5" borderId="0" xfId="2" applyFont="1" applyFill="1" applyBorder="1" applyAlignment="1">
      <alignment vertical="center"/>
    </xf>
    <xf numFmtId="1" fontId="11" fillId="3" borderId="0" xfId="0" applyNumberFormat="1" applyFont="1" applyFill="1" applyAlignment="1" applyProtection="1">
      <alignment vertical="center"/>
      <protection locked="0"/>
    </xf>
    <xf numFmtId="8" fontId="10" fillId="5" borderId="0" xfId="0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21" fillId="16" borderId="14" xfId="2" applyFont="1" applyFill="1" applyBorder="1" applyAlignment="1">
      <alignment horizontal="center" vertical="center"/>
    </xf>
    <xf numFmtId="0" fontId="21" fillId="16" borderId="18" xfId="2" applyFont="1" applyFill="1" applyBorder="1" applyAlignment="1">
      <alignment horizontal="center" vertical="center"/>
    </xf>
    <xf numFmtId="164" fontId="20" fillId="20" borderId="23" xfId="0" applyNumberFormat="1" applyFont="1" applyFill="1" applyBorder="1" applyAlignment="1" applyProtection="1">
      <alignment vertical="center"/>
      <protection locked="0"/>
    </xf>
    <xf numFmtId="164" fontId="20" fillId="3" borderId="22" xfId="0" applyNumberFormat="1" applyFont="1" applyFill="1" applyBorder="1" applyAlignment="1" applyProtection="1">
      <alignment vertical="center"/>
      <protection locked="0"/>
    </xf>
    <xf numFmtId="0" fontId="20" fillId="20" borderId="24" xfId="0" applyFont="1" applyFill="1" applyBorder="1" applyAlignment="1" applyProtection="1">
      <alignment horizontal="center" vertical="center"/>
      <protection locked="0"/>
    </xf>
    <xf numFmtId="9" fontId="20" fillId="20" borderId="24" xfId="0" applyNumberFormat="1" applyFont="1" applyFill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>
      <alignment vertical="center"/>
    </xf>
    <xf numFmtId="0" fontId="20" fillId="6" borderId="31" xfId="0" applyFont="1" applyFill="1" applyBorder="1" applyAlignment="1">
      <alignment horizontal="left" vertical="center" indent="1"/>
    </xf>
    <xf numFmtId="0" fontId="21" fillId="17" borderId="41" xfId="0" applyFont="1" applyFill="1" applyBorder="1" applyAlignment="1">
      <alignment horizontal="center" vertical="center"/>
    </xf>
    <xf numFmtId="164" fontId="20" fillId="20" borderId="24" xfId="0" applyNumberFormat="1" applyFont="1" applyFill="1" applyBorder="1" applyAlignment="1" applyProtection="1">
      <alignment horizontal="center" vertical="center"/>
      <protection locked="0"/>
    </xf>
    <xf numFmtId="9" fontId="11" fillId="19" borderId="24" xfId="0" applyNumberFormat="1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>
      <alignment horizontal="center" vertical="center"/>
    </xf>
    <xf numFmtId="8" fontId="8" fillId="5" borderId="0" xfId="0" applyNumberFormat="1" applyFont="1" applyFill="1" applyAlignment="1">
      <alignment vertical="center"/>
    </xf>
    <xf numFmtId="0" fontId="18" fillId="7" borderId="46" xfId="4" applyFont="1" applyFill="1" applyBorder="1" applyAlignment="1">
      <alignment horizontal="left" vertical="center" indent="2"/>
    </xf>
    <xf numFmtId="0" fontId="21" fillId="18" borderId="47" xfId="0" applyFont="1" applyFill="1" applyBorder="1" applyAlignment="1">
      <alignment horizontal="center" vertical="center"/>
    </xf>
    <xf numFmtId="0" fontId="21" fillId="18" borderId="20" xfId="0" applyFont="1" applyFill="1" applyBorder="1" applyAlignment="1">
      <alignment horizontal="center" vertical="center" wrapText="1"/>
    </xf>
    <xf numFmtId="0" fontId="21" fillId="18" borderId="50" xfId="0" applyFont="1" applyFill="1" applyBorder="1" applyAlignment="1">
      <alignment horizontal="center" vertical="center"/>
    </xf>
    <xf numFmtId="164" fontId="21" fillId="18" borderId="51" xfId="3" applyNumberFormat="1" applyFont="1" applyFill="1" applyBorder="1" applyAlignment="1">
      <alignment horizontal="center" vertical="center"/>
    </xf>
    <xf numFmtId="0" fontId="22" fillId="16" borderId="15" xfId="0" applyFont="1" applyFill="1" applyBorder="1" applyAlignment="1">
      <alignment horizontal="left" vertical="center" indent="3"/>
    </xf>
    <xf numFmtId="0" fontId="22" fillId="16" borderId="16" xfId="0" applyFont="1" applyFill="1" applyBorder="1" applyAlignment="1">
      <alignment horizontal="left" vertical="center" indent="3"/>
    </xf>
    <xf numFmtId="0" fontId="22" fillId="16" borderId="26" xfId="0" applyFont="1" applyFill="1" applyBorder="1" applyAlignment="1">
      <alignment horizontal="left" vertical="center" indent="3"/>
    </xf>
    <xf numFmtId="165" fontId="20" fillId="20" borderId="24" xfId="0" applyNumberFormat="1" applyFont="1" applyFill="1" applyBorder="1" applyAlignment="1" applyProtection="1">
      <alignment horizontal="center" vertical="center"/>
      <protection locked="0"/>
    </xf>
    <xf numFmtId="0" fontId="21" fillId="3" borderId="0" xfId="0" applyFont="1" applyFill="1" applyAlignment="1">
      <alignment horizontal="center" vertical="center"/>
    </xf>
    <xf numFmtId="8" fontId="21" fillId="5" borderId="0" xfId="0" applyNumberFormat="1" applyFont="1" applyFill="1" applyAlignment="1">
      <alignment horizontal="center" vertical="center"/>
    </xf>
    <xf numFmtId="0" fontId="22" fillId="5" borderId="0" xfId="0" applyFont="1" applyFill="1" applyAlignment="1">
      <alignment horizontal="left" vertical="center" indent="3"/>
    </xf>
    <xf numFmtId="8" fontId="22" fillId="5" borderId="0" xfId="0" applyNumberFormat="1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0" fontId="0" fillId="22" borderId="55" xfId="0" applyFill="1" applyBorder="1"/>
    <xf numFmtId="0" fontId="0" fillId="22" borderId="56" xfId="0" applyFill="1" applyBorder="1"/>
    <xf numFmtId="0" fontId="26" fillId="22" borderId="57" xfId="0" applyFont="1" applyFill="1" applyBorder="1" applyAlignment="1">
      <alignment horizontal="right" vertical="center" indent="1"/>
    </xf>
    <xf numFmtId="0" fontId="24" fillId="22" borderId="58" xfId="0" applyFont="1" applyFill="1" applyBorder="1"/>
    <xf numFmtId="0" fontId="25" fillId="22" borderId="3" xfId="0" applyFont="1" applyFill="1" applyBorder="1" applyAlignment="1">
      <alignment horizontal="right" vertical="center" indent="1"/>
    </xf>
    <xf numFmtId="0" fontId="21" fillId="16" borderId="25" xfId="2" applyFont="1" applyFill="1" applyBorder="1" applyAlignment="1">
      <alignment horizontal="center" vertical="center"/>
    </xf>
    <xf numFmtId="0" fontId="0" fillId="22" borderId="0" xfId="0" applyFill="1"/>
    <xf numFmtId="0" fontId="14" fillId="18" borderId="12" xfId="0" applyFont="1" applyFill="1" applyBorder="1" applyAlignment="1">
      <alignment horizontal="center" vertical="center" wrapText="1"/>
    </xf>
    <xf numFmtId="0" fontId="21" fillId="18" borderId="20" xfId="0" applyFont="1" applyFill="1" applyBorder="1" applyAlignment="1">
      <alignment horizontal="center" vertical="center"/>
    </xf>
    <xf numFmtId="0" fontId="14" fillId="18" borderId="5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28" fillId="22" borderId="55" xfId="0" applyFont="1" applyFill="1" applyBorder="1" applyAlignment="1">
      <alignment horizontal="center"/>
    </xf>
    <xf numFmtId="0" fontId="27" fillId="22" borderId="55" xfId="0" applyFont="1" applyFill="1" applyBorder="1" applyAlignment="1">
      <alignment horizontal="center"/>
    </xf>
    <xf numFmtId="0" fontId="29" fillId="22" borderId="58" xfId="0" applyFont="1" applyFill="1" applyBorder="1" applyAlignment="1">
      <alignment horizontal="left" vertical="top" indent="20"/>
    </xf>
    <xf numFmtId="0" fontId="29" fillId="22" borderId="59" xfId="0" applyFont="1" applyFill="1" applyBorder="1" applyAlignment="1">
      <alignment horizontal="left" vertical="top" indent="20"/>
    </xf>
    <xf numFmtId="0" fontId="19" fillId="21" borderId="45" xfId="4" applyFont="1" applyFill="1" applyBorder="1" applyAlignment="1" applyProtection="1">
      <alignment horizontal="center" vertical="center"/>
      <protection locked="0"/>
    </xf>
    <xf numFmtId="0" fontId="19" fillId="21" borderId="44" xfId="4" applyFont="1" applyFill="1" applyBorder="1" applyAlignment="1" applyProtection="1">
      <alignment horizontal="center" vertical="center"/>
      <protection locked="0"/>
    </xf>
    <xf numFmtId="0" fontId="4" fillId="18" borderId="48" xfId="8" applyFont="1" applyFill="1" applyBorder="1" applyAlignment="1">
      <alignment horizontal="center" vertical="center"/>
    </xf>
    <xf numFmtId="0" fontId="4" fillId="18" borderId="37" xfId="8" applyFont="1" applyFill="1" applyBorder="1" applyAlignment="1">
      <alignment horizontal="center" vertical="center"/>
    </xf>
    <xf numFmtId="0" fontId="4" fillId="18" borderId="31" xfId="8" applyFont="1" applyFill="1" applyBorder="1" applyAlignment="1">
      <alignment horizontal="center" vertical="center"/>
    </xf>
    <xf numFmtId="0" fontId="4" fillId="18" borderId="49" xfId="8" applyFont="1" applyFill="1" applyBorder="1" applyAlignment="1">
      <alignment horizontal="center" vertical="center"/>
    </xf>
    <xf numFmtId="0" fontId="23" fillId="0" borderId="52" xfId="0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0" fontId="23" fillId="0" borderId="54" xfId="0" applyFont="1" applyBorder="1" applyAlignment="1">
      <alignment horizontal="center" vertical="center" wrapText="1"/>
    </xf>
    <xf numFmtId="8" fontId="21" fillId="16" borderId="34" xfId="0" applyNumberFormat="1" applyFont="1" applyFill="1" applyBorder="1" applyAlignment="1">
      <alignment horizontal="center" vertical="center"/>
    </xf>
    <xf numFmtId="8" fontId="21" fillId="16" borderId="35" xfId="0" applyNumberFormat="1" applyFont="1" applyFill="1" applyBorder="1" applyAlignment="1">
      <alignment horizontal="center" vertical="center"/>
    </xf>
    <xf numFmtId="8" fontId="21" fillId="16" borderId="36" xfId="0" applyNumberFormat="1" applyFont="1" applyFill="1" applyBorder="1" applyAlignment="1">
      <alignment horizontal="center" vertical="center"/>
    </xf>
    <xf numFmtId="0" fontId="4" fillId="16" borderId="30" xfId="2" applyFont="1" applyFill="1" applyBorder="1" applyAlignment="1">
      <alignment horizontal="center" vertical="center"/>
    </xf>
    <xf numFmtId="0" fontId="4" fillId="16" borderId="31" xfId="2" applyFont="1" applyFill="1" applyBorder="1" applyAlignment="1">
      <alignment horizontal="center" vertical="center"/>
    </xf>
    <xf numFmtId="0" fontId="4" fillId="16" borderId="37" xfId="2" applyFont="1" applyFill="1" applyBorder="1" applyAlignment="1">
      <alignment horizontal="center" vertical="center"/>
    </xf>
    <xf numFmtId="0" fontId="4" fillId="16" borderId="43" xfId="2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left" vertical="center" indent="2"/>
    </xf>
    <xf numFmtId="0" fontId="9" fillId="6" borderId="37" xfId="0" applyFont="1" applyFill="1" applyBorder="1" applyAlignment="1">
      <alignment horizontal="left" vertical="center" indent="2"/>
    </xf>
    <xf numFmtId="164" fontId="20" fillId="20" borderId="24" xfId="0" applyNumberFormat="1" applyFont="1" applyFill="1" applyBorder="1" applyAlignment="1" applyProtection="1">
      <alignment horizontal="center" vertical="center"/>
      <protection locked="0"/>
    </xf>
    <xf numFmtId="0" fontId="9" fillId="6" borderId="28" xfId="0" applyFont="1" applyFill="1" applyBorder="1" applyAlignment="1">
      <alignment horizontal="left" vertical="center" indent="3"/>
    </xf>
    <xf numFmtId="0" fontId="9" fillId="6" borderId="38" xfId="0" applyFont="1" applyFill="1" applyBorder="1" applyAlignment="1">
      <alignment horizontal="left" vertical="center" indent="3"/>
    </xf>
    <xf numFmtId="0" fontId="9" fillId="6" borderId="29" xfId="0" applyFont="1" applyFill="1" applyBorder="1" applyAlignment="1">
      <alignment horizontal="left" vertical="center" indent="3"/>
    </xf>
    <xf numFmtId="0" fontId="9" fillId="6" borderId="17" xfId="0" applyFont="1" applyFill="1" applyBorder="1" applyAlignment="1">
      <alignment horizontal="left" vertical="center" indent="3"/>
    </xf>
    <xf numFmtId="0" fontId="21" fillId="17" borderId="32" xfId="0" applyFont="1" applyFill="1" applyBorder="1" applyAlignment="1">
      <alignment horizontal="center" vertical="center"/>
    </xf>
    <xf numFmtId="0" fontId="21" fillId="17" borderId="33" xfId="0" applyFont="1" applyFill="1" applyBorder="1" applyAlignment="1">
      <alignment horizontal="center" vertical="center"/>
    </xf>
    <xf numFmtId="0" fontId="4" fillId="16" borderId="18" xfId="2" applyFont="1" applyFill="1" applyBorder="1" applyAlignment="1">
      <alignment horizontal="center" vertical="center"/>
    </xf>
    <xf numFmtId="0" fontId="4" fillId="16" borderId="20" xfId="2" applyFont="1" applyFill="1" applyBorder="1" applyAlignment="1">
      <alignment horizontal="center" vertical="center"/>
    </xf>
    <xf numFmtId="0" fontId="4" fillId="16" borderId="14" xfId="2" applyFont="1" applyFill="1" applyBorder="1" applyAlignment="1">
      <alignment horizontal="center" vertical="center"/>
    </xf>
    <xf numFmtId="0" fontId="4" fillId="16" borderId="25" xfId="2" applyFont="1" applyFill="1" applyBorder="1" applyAlignment="1">
      <alignment horizontal="center" vertical="center"/>
    </xf>
    <xf numFmtId="0" fontId="21" fillId="18" borderId="21" xfId="0" applyFont="1" applyFill="1" applyBorder="1" applyAlignment="1">
      <alignment horizontal="center" vertical="center"/>
    </xf>
    <xf numFmtId="8" fontId="22" fillId="16" borderId="4" xfId="0" applyNumberFormat="1" applyFont="1" applyFill="1" applyBorder="1" applyAlignment="1">
      <alignment horizontal="left" vertical="center" indent="1"/>
    </xf>
    <xf numFmtId="8" fontId="8" fillId="16" borderId="19" xfId="0" applyNumberFormat="1" applyFont="1" applyFill="1" applyBorder="1" applyAlignment="1">
      <alignment horizontal="left" vertical="center" indent="1"/>
    </xf>
    <xf numFmtId="8" fontId="22" fillId="16" borderId="1" xfId="0" applyNumberFormat="1" applyFont="1" applyFill="1" applyBorder="1" applyAlignment="1">
      <alignment horizontal="left" vertical="center" indent="1"/>
    </xf>
    <xf numFmtId="8" fontId="22" fillId="16" borderId="27" xfId="0" applyNumberFormat="1" applyFont="1" applyFill="1" applyBorder="1" applyAlignment="1">
      <alignment horizontal="left" vertical="center" indent="1"/>
    </xf>
    <xf numFmtId="0" fontId="9" fillId="6" borderId="31" xfId="0" applyFont="1" applyFill="1" applyBorder="1" applyAlignment="1">
      <alignment horizontal="left" wrapText="1" indent="1"/>
    </xf>
    <xf numFmtId="0" fontId="20" fillId="6" borderId="6" xfId="0" applyFont="1" applyFill="1" applyBorder="1" applyAlignment="1">
      <alignment horizontal="left" vertical="center" indent="3"/>
    </xf>
    <xf numFmtId="0" fontId="20" fillId="6" borderId="6" xfId="0" applyFont="1" applyFill="1" applyBorder="1" applyAlignment="1">
      <alignment horizontal="left" vertical="center" wrapText="1" indent="3"/>
    </xf>
    <xf numFmtId="164" fontId="21" fillId="17" borderId="42" xfId="0" applyNumberFormat="1" applyFont="1" applyFill="1" applyBorder="1" applyAlignment="1">
      <alignment horizontal="center" vertical="center"/>
    </xf>
    <xf numFmtId="164" fontId="10" fillId="18" borderId="8" xfId="0" applyNumberFormat="1" applyFont="1" applyFill="1" applyBorder="1" applyAlignment="1">
      <alignment horizontal="center" vertical="center"/>
    </xf>
    <xf numFmtId="164" fontId="10" fillId="18" borderId="10" xfId="0" applyNumberFormat="1" applyFont="1" applyFill="1" applyBorder="1" applyAlignment="1">
      <alignment horizontal="center" vertical="center"/>
    </xf>
    <xf numFmtId="164" fontId="10" fillId="18" borderId="13" xfId="0" applyNumberFormat="1" applyFont="1" applyFill="1" applyBorder="1" applyAlignment="1">
      <alignment horizontal="center" vertical="center"/>
    </xf>
    <xf numFmtId="164" fontId="30" fillId="16" borderId="5" xfId="0" applyNumberFormat="1" applyFont="1" applyFill="1" applyBorder="1" applyAlignment="1">
      <alignment horizontal="left" vertical="center" indent="1"/>
    </xf>
  </cellXfs>
  <cellStyles count="9">
    <cellStyle name="Ênfase4" xfId="8" builtinId="41"/>
    <cellStyle name="Ênfase6" xfId="2" builtinId="49"/>
    <cellStyle name="Moeda" xfId="3" builtinId="4"/>
    <cellStyle name="Moeda 2" xfId="6" xr:uid="{D04A85DB-DB32-4983-937B-5E7362B5E9D6}"/>
    <cellStyle name="Neutro" xfId="4" builtinId="28"/>
    <cellStyle name="Normal" xfId="0" builtinId="0"/>
    <cellStyle name="Normal 2" xfId="5" xr:uid="{63EE88FB-2B57-4766-AC16-C320CEF4C571}"/>
    <cellStyle name="Porcentagem" xfId="1" builtinId="5"/>
    <cellStyle name="Porcentagem 2" xfId="7" xr:uid="{F4206B03-64E4-4F26-82C4-343A1893E0BF}"/>
  </cellStyles>
  <dxfs count="3">
    <dxf>
      <font>
        <color rgb="FF77D7A7"/>
      </font>
    </dxf>
    <dxf>
      <font>
        <color theme="7" tint="0.39994506668294322"/>
      </font>
    </dxf>
    <dxf>
      <font>
        <color rgb="FFFF0000"/>
      </font>
    </dxf>
  </dxfs>
  <tableStyles count="0" defaultTableStyle="TableStyleMedium2" defaultPivotStyle="PivotStyleLight16"/>
  <colors>
    <mruColors>
      <color rgb="FF5B9BD5"/>
      <color rgb="FFFFF4D5"/>
      <color rgb="FFFF7171"/>
      <color rgb="FFE1EAAA"/>
      <color rgb="FF9FE79D"/>
      <color rgb="FFFFFAEB"/>
      <color rgb="FFC9EFDC"/>
      <color rgb="FF77D7A7"/>
      <color rgb="FFFB5705"/>
      <color rgb="FFECC5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accent1"/>
                </a:solidFill>
              </a:rPr>
              <a:t>Gráfico Visual para análise da Diversificação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44587108668419"/>
          <c:y val="9.5229397871657795E-2"/>
          <c:w val="0.88498840769903764"/>
          <c:h val="0.462639270481053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FE79D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1EAA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A-488C-A49C-27074B81C8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AAA-488C-A49C-27074B81C8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A-488C-A49C-27074B81C8D5}"/>
              </c:ext>
            </c:extLst>
          </c:dPt>
          <c:dPt>
            <c:idx val="4"/>
            <c:invertIfNegative val="0"/>
            <c:bubble3D val="0"/>
            <c:spPr>
              <a:solidFill>
                <a:srgbClr val="FF71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AAA-488C-A49C-27074B81C8D5}"/>
              </c:ext>
            </c:extLst>
          </c:dPt>
          <c:cat>
            <c:strRef>
              <c:f>'Plano de Investimento'!$C$40:$C$44</c:f>
              <c:strCache>
                <c:ptCount val="5"/>
                <c:pt idx="0">
                  <c:v>Tesouro Selic; CDBs de grandes bancos; LCIs/LCAs; Fundos DI; Poupança</c:v>
                </c:pt>
                <c:pt idx="1">
                  <c:v>ETFs amplos e diversificados; FIIs de tijolo; ações de grandes empresas (blue chips)</c:v>
                </c:pt>
                <c:pt idx="2">
                  <c:v>Ações de empresas médias; FIIs de papel; ETFs setoriais; fundos de ações ativos</c:v>
                </c:pt>
                <c:pt idx="3">
                  <c:v>Small caps; BDRs; commodities; derivativos simples (opções, futuros)</c:v>
                </c:pt>
                <c:pt idx="4">
                  <c:v>Criptomoedas; derivativos alavancados; penny stocks</c:v>
                </c:pt>
              </c:strCache>
            </c:strRef>
          </c:cat>
          <c:val>
            <c:numRef>
              <c:f>'Plano de Investimento'!$E$40:$E$44</c:f>
              <c:numCache>
                <c:formatCode>0%</c:formatCode>
                <c:ptCount val="5"/>
                <c:pt idx="0">
                  <c:v>0.4</c:v>
                </c:pt>
                <c:pt idx="1">
                  <c:v>0.3</c:v>
                </c:pt>
                <c:pt idx="2">
                  <c:v>0.2</c:v>
                </c:pt>
                <c:pt idx="3">
                  <c:v>0.1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A-488C-A49C-27074B81C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40303"/>
        <c:axId val="356235023"/>
      </c:barChart>
      <c:catAx>
        <c:axId val="3562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56235023"/>
        <c:crosses val="autoZero"/>
        <c:auto val="1"/>
        <c:lblAlgn val="ctr"/>
        <c:lblOffset val="100"/>
        <c:noMultiLvlLbl val="0"/>
      </c:catAx>
      <c:valAx>
        <c:axId val="35623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562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6">
              <a:lumMod val="7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Gráfico</a:t>
            </a:r>
            <a:r>
              <a:rPr lang="en-US" b="1" baseline="0">
                <a:solidFill>
                  <a:srgbClr val="0070C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Evolução de Carteira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787096880743135E-2"/>
          <c:y val="0.11441441441441441"/>
          <c:w val="0.79541218795844071"/>
          <c:h val="0.56671537679411699"/>
        </c:manualLayout>
      </c:layout>
      <c:lineChart>
        <c:grouping val="standard"/>
        <c:varyColors val="0"/>
        <c:ser>
          <c:idx val="1"/>
          <c:order val="0"/>
          <c:tx>
            <c:v>Valorização final do investimento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'Plano de Investimento'!$B$29:$B$33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'Plano de Investimento'!$D$29:$D$33</c:f>
              <c:numCache>
                <c:formatCode>"R$"#,##0.00_);[Red]\("R$"#,##0.00\)</c:formatCode>
                <c:ptCount val="5"/>
                <c:pt idx="0">
                  <c:v>28633.520795268018</c:v>
                </c:pt>
                <c:pt idx="1">
                  <c:v>96214.651712648149</c:v>
                </c:pt>
                <c:pt idx="2">
                  <c:v>331288.19148808921</c:v>
                </c:pt>
                <c:pt idx="3">
                  <c:v>2308854.3702679113</c:v>
                </c:pt>
                <c:pt idx="4">
                  <c:v>14113585.392787414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F-4867-8212-02731CB7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667039"/>
        <c:axId val="1170658879"/>
      </c:lineChart>
      <c:lineChart>
        <c:grouping val="standard"/>
        <c:varyColors val="0"/>
        <c:ser>
          <c:idx val="2"/>
          <c:order val="1"/>
          <c:tx>
            <c:v>Total de Dividendos a receber no final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'Plano de Investimento'!$B$29:$B$33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'Plano de Investimento'!$E$29:$E$33</c:f>
              <c:numCache>
                <c:formatCode>"R$"\ #,##0.00</c:formatCode>
                <c:ptCount val="5"/>
                <c:pt idx="0">
                  <c:v>4295.0281192902021</c:v>
                </c:pt>
                <c:pt idx="1">
                  <c:v>14432.197756897222</c:v>
                </c:pt>
                <c:pt idx="2">
                  <c:v>49693.228723213382</c:v>
                </c:pt>
                <c:pt idx="3">
                  <c:v>346328.15554018668</c:v>
                </c:pt>
                <c:pt idx="4">
                  <c:v>2117037.808918112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F-4867-8212-02731CB77CA2}"/>
            </c:ext>
          </c:extLst>
        </c:ser>
        <c:ser>
          <c:idx val="3"/>
          <c:order val="2"/>
          <c:tx>
            <c:v>Resultado de Investimento + DY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'Plano de Investimento'!$B$29:$B$33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'Plano de Investimento'!$F$29:$F$33</c:f>
              <c:numCache>
                <c:formatCode>"R$"#,##0.00_);[Red]\("R$"#,##0.00\)</c:formatCode>
                <c:ptCount val="5"/>
                <c:pt idx="0">
                  <c:v>32928.548914558218</c:v>
                </c:pt>
                <c:pt idx="1">
                  <c:v>110646.84946954537</c:v>
                </c:pt>
                <c:pt idx="2">
                  <c:v>380981.42021130258</c:v>
                </c:pt>
                <c:pt idx="3">
                  <c:v>2655182.5258080978</c:v>
                </c:pt>
                <c:pt idx="4">
                  <c:v>16230623.201705527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6F-4867-8212-02731CB7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662239"/>
        <c:axId val="1170661759"/>
      </c:lineChart>
      <c:catAx>
        <c:axId val="117066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170658879"/>
        <c:crosses val="autoZero"/>
        <c:auto val="1"/>
        <c:lblAlgn val="ctr"/>
        <c:lblOffset val="100"/>
        <c:noMultiLvlLbl val="0"/>
      </c:catAx>
      <c:valAx>
        <c:axId val="11706588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[Red]\(&quot;R$&quot;#,##0.00\)" sourceLinked="1"/>
        <c:majorTickMark val="none"/>
        <c:minorTickMark val="none"/>
        <c:tickLblPos val="nextTo"/>
        <c:crossAx val="1170667039"/>
        <c:crosses val="autoZero"/>
        <c:crossBetween val="between"/>
      </c:valAx>
      <c:valAx>
        <c:axId val="1170661759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0662239"/>
        <c:crosses val="max"/>
        <c:crossBetween val="between"/>
      </c:valAx>
      <c:catAx>
        <c:axId val="1170662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706617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761993443293689"/>
          <c:y val="0.79241635336123528"/>
          <c:w val="0.44403829321060717"/>
          <c:h val="0.138514577569695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46</xdr:row>
      <xdr:rowOff>160020</xdr:rowOff>
    </xdr:from>
    <xdr:to>
      <xdr:col>3</xdr:col>
      <xdr:colOff>662939</xdr:colOff>
      <xdr:row>76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DE9D7D-873B-60E1-CA01-355AE04ED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701039</xdr:colOff>
      <xdr:row>46</xdr:row>
      <xdr:rowOff>167640</xdr:rowOff>
    </xdr:from>
    <xdr:to>
      <xdr:col>6</xdr:col>
      <xdr:colOff>152400</xdr:colOff>
      <xdr:row>71</xdr:row>
      <xdr:rowOff>15240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04B13A3-9939-BAAA-68B8-E06BE3592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259080</xdr:colOff>
      <xdr:row>8</xdr:row>
      <xdr:rowOff>160020</xdr:rowOff>
    </xdr:from>
    <xdr:to>
      <xdr:col>6</xdr:col>
      <xdr:colOff>15240</xdr:colOff>
      <xdr:row>9</xdr:row>
      <xdr:rowOff>426720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6D0C63D-7450-437E-696B-0D5F0BA85E22}"/>
            </a:ext>
          </a:extLst>
        </xdr:cNvPr>
        <xdr:cNvSpPr/>
      </xdr:nvSpPr>
      <xdr:spPr>
        <a:xfrm>
          <a:off x="4777740" y="1333500"/>
          <a:ext cx="7749540" cy="1028700"/>
        </a:xfrm>
        <a:prstGeom prst="roundRect">
          <a:avLst/>
        </a:prstGeom>
        <a:solidFill>
          <a:srgbClr val="5B9BD5">
            <a:alpha val="4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45720</xdr:colOff>
      <xdr:row>8</xdr:row>
      <xdr:rowOff>114300</xdr:rowOff>
    </xdr:from>
    <xdr:to>
      <xdr:col>1</xdr:col>
      <xdr:colOff>167640</xdr:colOff>
      <xdr:row>9</xdr:row>
      <xdr:rowOff>464820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0F62712-4EB9-3E8E-143C-0BAF3AC0B584}"/>
            </a:ext>
          </a:extLst>
        </xdr:cNvPr>
        <xdr:cNvSpPr/>
      </xdr:nvSpPr>
      <xdr:spPr>
        <a:xfrm>
          <a:off x="1051560" y="1287780"/>
          <a:ext cx="121920" cy="1112520"/>
        </a:xfrm>
        <a:prstGeom prst="rect">
          <a:avLst/>
        </a:prstGeom>
        <a:solidFill>
          <a:srgbClr val="5B9BD5">
            <a:alpha val="4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5B9BD5"/>
            </a:solidFill>
          </a:endParaRPr>
        </a:p>
      </xdr:txBody>
    </xdr:sp>
    <xdr:clientData/>
  </xdr:twoCellAnchor>
  <xdr:twoCellAnchor editAs="oneCell">
    <xdr:from>
      <xdr:col>5</xdr:col>
      <xdr:colOff>1371600</xdr:colOff>
      <xdr:row>24</xdr:row>
      <xdr:rowOff>68580</xdr:rowOff>
    </xdr:from>
    <xdr:to>
      <xdr:col>5</xdr:col>
      <xdr:colOff>1546860</xdr:colOff>
      <xdr:row>24</xdr:row>
      <xdr:rowOff>243840</xdr:rowOff>
    </xdr:to>
    <xdr:pic>
      <xdr:nvPicPr>
        <xdr:cNvPr id="3" name="Gráfico 2" descr="Seta para Baixo com preenchimento sólido">
          <a:extLst>
            <a:ext uri="{FF2B5EF4-FFF2-40B4-BE49-F238E27FC236}">
              <a16:creationId xmlns:a16="http://schemas.microsoft.com/office/drawing/2014/main" id="{9498FE17-E8D0-9550-0479-D8F418ED1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940540" y="7482840"/>
          <a:ext cx="175260" cy="17526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5B9BD5">
            <a:alpha val="40000"/>
          </a:srgbClr>
        </a:solidFill>
      </a:spPr>
      <a:bodyPr vertOverflow="clip" horzOverflow="clip" rtlCol="0" anchor="b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90B4-B955-4E97-8F77-1CD622D2FAFB}">
  <sheetPr>
    <pageSetUpPr fitToPage="1"/>
  </sheetPr>
  <dimension ref="A7:S45"/>
  <sheetViews>
    <sheetView showGridLines="0" tabSelected="1" workbookViewId="0">
      <selection activeCell="D72" sqref="D72"/>
    </sheetView>
  </sheetViews>
  <sheetFormatPr defaultColWidth="0" defaultRowHeight="13.8" x14ac:dyDescent="0.25"/>
  <cols>
    <col min="1" max="1" width="13.19921875" customWidth="1"/>
    <col min="2" max="2" width="46.09765625" customWidth="1"/>
    <col min="3" max="3" width="23.796875" customWidth="1"/>
    <col min="4" max="4" width="26.3984375" bestFit="1" customWidth="1"/>
    <col min="5" max="5" width="29.19921875" bestFit="1" customWidth="1"/>
    <col min="6" max="6" width="25.5" customWidth="1"/>
    <col min="7" max="7" width="16" style="1" customWidth="1"/>
    <col min="8" max="19" width="0" hidden="1" customWidth="1"/>
    <col min="20" max="16384" width="8.69921875" hidden="1"/>
  </cols>
  <sheetData>
    <row r="7" spans="1:7" ht="9.6" customHeight="1" x14ac:dyDescent="0.25"/>
    <row r="8" spans="1:7" hidden="1" x14ac:dyDescent="0.25"/>
    <row r="9" spans="1:7" ht="60" customHeight="1" x14ac:dyDescent="0.4">
      <c r="A9" s="67"/>
      <c r="B9" s="65" t="s">
        <v>40</v>
      </c>
      <c r="C9" s="61"/>
      <c r="D9" s="72" t="s">
        <v>42</v>
      </c>
      <c r="E9" s="73"/>
      <c r="F9" s="62"/>
      <c r="G9" s="67"/>
    </row>
    <row r="10" spans="1:7" ht="43.2" customHeight="1" x14ac:dyDescent="0.35">
      <c r="A10" s="67"/>
      <c r="B10" s="63" t="s">
        <v>41</v>
      </c>
      <c r="C10" s="64"/>
      <c r="D10" s="74" t="s">
        <v>43</v>
      </c>
      <c r="E10" s="74"/>
      <c r="F10" s="75"/>
      <c r="G10" s="67"/>
    </row>
    <row r="16" spans="1:7" ht="50.4" customHeight="1" x14ac:dyDescent="0.25">
      <c r="B16" s="82" t="s">
        <v>44</v>
      </c>
      <c r="C16" s="83"/>
      <c r="D16" s="83"/>
      <c r="E16" s="83"/>
      <c r="F16" s="84"/>
    </row>
    <row r="17" spans="1:8" ht="22.2" customHeight="1" thickBot="1" x14ac:dyDescent="0.3">
      <c r="G17" s="30"/>
    </row>
    <row r="18" spans="1:8" ht="24.9" customHeight="1" thickTop="1" thickBot="1" x14ac:dyDescent="0.3">
      <c r="B18" s="95" t="s">
        <v>24</v>
      </c>
      <c r="C18" s="96"/>
      <c r="D18" s="38">
        <v>10</v>
      </c>
      <c r="E18" s="92" t="s">
        <v>23</v>
      </c>
      <c r="F18" s="94">
        <v>1000</v>
      </c>
      <c r="G18" s="40"/>
    </row>
    <row r="19" spans="1:8" ht="24.9" customHeight="1" thickTop="1" thickBot="1" x14ac:dyDescent="0.3">
      <c r="B19" s="97" t="s">
        <v>37</v>
      </c>
      <c r="C19" s="98"/>
      <c r="D19" s="39">
        <v>0.01</v>
      </c>
      <c r="E19" s="93"/>
      <c r="F19" s="94"/>
      <c r="G19" s="37"/>
      <c r="H19" s="36"/>
    </row>
    <row r="20" spans="1:8" ht="40.200000000000003" customHeight="1" thickTop="1" thickBot="1" x14ac:dyDescent="0.3">
      <c r="B20" s="88" t="s">
        <v>25</v>
      </c>
      <c r="C20" s="89"/>
      <c r="D20" s="90"/>
      <c r="E20" s="89"/>
      <c r="F20" s="91"/>
      <c r="G20" s="32"/>
    </row>
    <row r="21" spans="1:8" ht="42.6" customHeight="1" thickTop="1" thickBot="1" x14ac:dyDescent="0.3">
      <c r="B21" s="99" t="s">
        <v>34</v>
      </c>
      <c r="C21" s="100"/>
      <c r="D21" s="85">
        <f>FV(rendimento_rendafix,periodo_rendafix*12,aporte_rendafix*-1)</f>
        <v>230038.68945736697</v>
      </c>
      <c r="E21" s="86"/>
      <c r="F21" s="87"/>
      <c r="G21" s="32"/>
    </row>
    <row r="22" spans="1:8" ht="42.6" customHeight="1" thickTop="1" x14ac:dyDescent="0.25">
      <c r="B22" s="56"/>
      <c r="C22" s="56"/>
      <c r="D22" s="57"/>
      <c r="E22" s="57"/>
      <c r="F22" s="57"/>
      <c r="G22" s="32"/>
    </row>
    <row r="23" spans="1:8" ht="50.4" customHeight="1" x14ac:dyDescent="0.25">
      <c r="B23" s="82" t="s">
        <v>45</v>
      </c>
      <c r="C23" s="83"/>
      <c r="D23" s="83"/>
      <c r="E23" s="83"/>
      <c r="F23" s="84"/>
    </row>
    <row r="24" spans="1:8" ht="21.6" customHeight="1" thickBot="1" x14ac:dyDescent="0.3">
      <c r="B24" s="56"/>
      <c r="C24" s="56"/>
      <c r="D24" s="57"/>
      <c r="E24" s="57"/>
      <c r="F24" s="57"/>
      <c r="G24" s="32"/>
    </row>
    <row r="25" spans="1:8" ht="24.9" customHeight="1" thickTop="1" thickBot="1" x14ac:dyDescent="0.3">
      <c r="A25" s="5"/>
      <c r="B25" s="111" t="s">
        <v>21</v>
      </c>
      <c r="C25" s="43">
        <v>10000</v>
      </c>
      <c r="D25" s="41" t="s">
        <v>22</v>
      </c>
      <c r="E25" s="39">
        <v>0.1</v>
      </c>
      <c r="F25" s="42" t="s">
        <v>32</v>
      </c>
      <c r="G25" s="31"/>
    </row>
    <row r="26" spans="1:8" ht="39" customHeight="1" thickTop="1" thickBot="1" x14ac:dyDescent="0.5">
      <c r="B26" s="112" t="s">
        <v>28</v>
      </c>
      <c r="C26" s="55">
        <v>1.4999999999999999E-2</v>
      </c>
      <c r="D26" s="110" t="s">
        <v>36</v>
      </c>
      <c r="E26" s="44">
        <v>0.15</v>
      </c>
      <c r="F26" s="113">
        <f>salario*reserva_rendavar</f>
        <v>1000</v>
      </c>
    </row>
    <row r="27" spans="1:8" s="1" customFormat="1" ht="40.200000000000003" customHeight="1" thickTop="1" thickBot="1" x14ac:dyDescent="0.3">
      <c r="A27" s="6"/>
      <c r="B27" s="101" t="s">
        <v>26</v>
      </c>
      <c r="C27" s="102"/>
      <c r="D27" s="103"/>
      <c r="E27" s="102"/>
      <c r="F27" s="104"/>
      <c r="G27" s="29"/>
    </row>
    <row r="28" spans="1:8" s="1" customFormat="1" ht="39.6" customHeight="1" thickTop="1" thickBot="1" x14ac:dyDescent="0.3">
      <c r="A28" s="6"/>
      <c r="B28" s="35" t="s">
        <v>29</v>
      </c>
      <c r="C28" s="34" t="s">
        <v>33</v>
      </c>
      <c r="D28" s="34" t="s">
        <v>30</v>
      </c>
      <c r="E28" s="34" t="s">
        <v>31</v>
      </c>
      <c r="F28" s="66" t="s">
        <v>27</v>
      </c>
    </row>
    <row r="29" spans="1:8" ht="24.9" customHeight="1" thickTop="1" thickBot="1" x14ac:dyDescent="0.3">
      <c r="A29" s="8">
        <v>24</v>
      </c>
      <c r="B29" s="52" t="s">
        <v>0</v>
      </c>
      <c r="C29" s="106">
        <f>rendimento_2_rendavar*rendimento_rendavar</f>
        <v>429.50281192902025</v>
      </c>
      <c r="D29" s="106">
        <f>FV(rendimento_rendavar,A29,aporte_rendavar)*-1</f>
        <v>28633.520795268018</v>
      </c>
      <c r="E29" s="117">
        <f>rendimento_2_rendavar*DY_rendavar</f>
        <v>4295.0281192902021</v>
      </c>
      <c r="F29" s="107">
        <f>SUM(dividendo_2,rendimento_2_rendavar)</f>
        <v>32928.548914558218</v>
      </c>
    </row>
    <row r="30" spans="1:8" ht="24.9" customHeight="1" thickTop="1" thickBot="1" x14ac:dyDescent="0.3">
      <c r="A30" s="8">
        <v>60</v>
      </c>
      <c r="B30" s="53" t="s">
        <v>1</v>
      </c>
      <c r="C30" s="108">
        <f>rendimento_5_rendavar*rendimento_rendavar</f>
        <v>1443.2197756897222</v>
      </c>
      <c r="D30" s="106">
        <f>FV(rendimento_rendavar,A30,aporte_rendavar)*-1</f>
        <v>96214.651712648149</v>
      </c>
      <c r="E30" s="117">
        <f>rendimento_5_rendavar*DY_rendavar</f>
        <v>14432.197756897222</v>
      </c>
      <c r="F30" s="107">
        <f>SUM(dividendo_5,rendimento_5_rendavar)</f>
        <v>110646.84946954537</v>
      </c>
    </row>
    <row r="31" spans="1:8" ht="24.9" customHeight="1" thickTop="1" thickBot="1" x14ac:dyDescent="0.3">
      <c r="A31" s="8">
        <v>120</v>
      </c>
      <c r="B31" s="53" t="s">
        <v>2</v>
      </c>
      <c r="C31" s="108">
        <f>rendimento_10_rendavar*rendimento_rendavar</f>
        <v>4969.3228723213379</v>
      </c>
      <c r="D31" s="106">
        <f>FV(rendimento_rendavar,A31,aporte_rendavar)*-1</f>
        <v>331288.19148808921</v>
      </c>
      <c r="E31" s="117">
        <f>rendimento_10_rendavar*DY_rendavar</f>
        <v>49693.228723213382</v>
      </c>
      <c r="F31" s="107">
        <f>SUM(dividendo_10,rendimento_10_rendavar)</f>
        <v>380981.42021130258</v>
      </c>
    </row>
    <row r="32" spans="1:8" ht="24.9" customHeight="1" thickTop="1" thickBot="1" x14ac:dyDescent="0.3">
      <c r="A32" s="8">
        <v>240</v>
      </c>
      <c r="B32" s="53" t="s">
        <v>3</v>
      </c>
      <c r="C32" s="108">
        <f>rendimento_20_rendavar*rendimento_rendavar</f>
        <v>34632.815554018671</v>
      </c>
      <c r="D32" s="106">
        <f>FV(rendimento_rendavar,A32,aporte_rendavar)*-1</f>
        <v>2308854.3702679113</v>
      </c>
      <c r="E32" s="117">
        <f>rendimento_20_rendavar*DY_rendavar</f>
        <v>346328.15554018668</v>
      </c>
      <c r="F32" s="107">
        <f>SUM(dividendo_20,rendimento_20_rendavar)</f>
        <v>2655182.5258080978</v>
      </c>
    </row>
    <row r="33" spans="1:7" ht="24.9" customHeight="1" thickTop="1" thickBot="1" x14ac:dyDescent="0.3">
      <c r="A33" s="8">
        <v>360</v>
      </c>
      <c r="B33" s="54" t="s">
        <v>4</v>
      </c>
      <c r="C33" s="109">
        <f>rendimento_30_rendavar*rendimento_rendavar</f>
        <v>211703.78089181118</v>
      </c>
      <c r="D33" s="106">
        <f>FV(rendimento_rendavar,A33,aporte_rendavar)*-1</f>
        <v>14113585.392787414</v>
      </c>
      <c r="E33" s="117">
        <f>rendimento_30_rendavar*DY_rendavar</f>
        <v>2117037.808918112</v>
      </c>
      <c r="F33" s="107">
        <f>SUM(dividendo_30,rendimento_30_rendavar)</f>
        <v>16230623.201705527</v>
      </c>
    </row>
    <row r="34" spans="1:7" ht="37.200000000000003" customHeight="1" thickTop="1" x14ac:dyDescent="0.25">
      <c r="A34" s="8"/>
    </row>
    <row r="35" spans="1:7" ht="24.9" customHeight="1" x14ac:dyDescent="0.25">
      <c r="A35" s="8"/>
      <c r="B35" s="82" t="s">
        <v>38</v>
      </c>
      <c r="C35" s="83"/>
      <c r="D35" s="83"/>
      <c r="E35" s="83"/>
      <c r="F35" s="84"/>
    </row>
    <row r="36" spans="1:7" s="1" customFormat="1" ht="20.399999999999999" customHeight="1" thickBot="1" x14ac:dyDescent="0.3">
      <c r="A36" s="45"/>
      <c r="B36" s="58"/>
      <c r="C36" s="59"/>
      <c r="D36" s="59"/>
      <c r="E36" s="60"/>
      <c r="F36" s="46"/>
    </row>
    <row r="37" spans="1:7" ht="30.6" customHeight="1" thickTop="1" thickBot="1" x14ac:dyDescent="0.3">
      <c r="A37" s="5"/>
      <c r="B37" s="47" t="s">
        <v>35</v>
      </c>
      <c r="C37" s="76" t="s">
        <v>13</v>
      </c>
      <c r="D37" s="77"/>
      <c r="E37" s="50" t="s">
        <v>46</v>
      </c>
      <c r="F37" s="51">
        <f>aporte_rendavar</f>
        <v>1000</v>
      </c>
    </row>
    <row r="38" spans="1:7" s="4" customFormat="1" ht="39.9" customHeight="1" thickTop="1" thickBot="1" x14ac:dyDescent="0.3">
      <c r="A38" s="7"/>
      <c r="B38" s="78" t="s">
        <v>39</v>
      </c>
      <c r="C38" s="79"/>
      <c r="D38" s="79"/>
      <c r="E38" s="80"/>
      <c r="F38" s="81"/>
      <c r="G38" s="33"/>
    </row>
    <row r="39" spans="1:7" s="4" customFormat="1" ht="39.9" customHeight="1" thickTop="1" thickBot="1" x14ac:dyDescent="0.3">
      <c r="B39" s="48" t="s">
        <v>14</v>
      </c>
      <c r="C39" s="69" t="s">
        <v>15</v>
      </c>
      <c r="D39" s="69"/>
      <c r="E39" s="49" t="s">
        <v>8</v>
      </c>
      <c r="F39" s="105" t="s">
        <v>9</v>
      </c>
      <c r="G39" s="33"/>
    </row>
    <row r="40" spans="1:7" s="4" customFormat="1" ht="42" customHeight="1" thickTop="1" x14ac:dyDescent="0.25">
      <c r="B40" s="22">
        <v>1</v>
      </c>
      <c r="C40" s="70" t="s">
        <v>16</v>
      </c>
      <c r="D40" s="70"/>
      <c r="E40" s="26">
        <f>VLOOKUP($C$37&amp;"-"&amp;C40,'Tabela de Apoio Chaves'!$B$4:$E$18,4,FALSE)</f>
        <v>0.4</v>
      </c>
      <c r="F40" s="114">
        <f>$F$37*E40</f>
        <v>400</v>
      </c>
      <c r="G40" s="33"/>
    </row>
    <row r="41" spans="1:7" s="4" customFormat="1" ht="42" customHeight="1" x14ac:dyDescent="0.25">
      <c r="B41" s="25">
        <v>2</v>
      </c>
      <c r="C41" s="71" t="s">
        <v>17</v>
      </c>
      <c r="D41" s="71"/>
      <c r="E41" s="27">
        <f>VLOOKUP($C$37&amp;"-"&amp;C41,'Tabela de Apoio Chaves'!$B$4:$E$18,4,FALSE)</f>
        <v>0.3</v>
      </c>
      <c r="F41" s="115">
        <f>$F$37*E41</f>
        <v>300</v>
      </c>
      <c r="G41" s="33"/>
    </row>
    <row r="42" spans="1:7" s="4" customFormat="1" ht="42" customHeight="1" x14ac:dyDescent="0.25">
      <c r="B42" s="23">
        <v>3</v>
      </c>
      <c r="C42" s="71" t="s">
        <v>18</v>
      </c>
      <c r="D42" s="71"/>
      <c r="E42" s="27">
        <f>VLOOKUP($C$37&amp;"-"&amp;C42,'Tabela de Apoio Chaves'!$B$4:$E$18,4,FALSE)</f>
        <v>0.2</v>
      </c>
      <c r="F42" s="115">
        <f>$F$37*E42</f>
        <v>200</v>
      </c>
      <c r="G42" s="33"/>
    </row>
    <row r="43" spans="1:7" s="4" customFormat="1" ht="42" customHeight="1" x14ac:dyDescent="0.25">
      <c r="B43" s="23">
        <v>4</v>
      </c>
      <c r="C43" s="71" t="s">
        <v>19</v>
      </c>
      <c r="D43" s="71"/>
      <c r="E43" s="27">
        <f>VLOOKUP($C$37&amp;"-"&amp;C43,'Tabela de Apoio Chaves'!$B$4:$E$18,4,FALSE)</f>
        <v>0.1</v>
      </c>
      <c r="F43" s="115">
        <f>$F$37*E43</f>
        <v>100</v>
      </c>
      <c r="G43" s="33"/>
    </row>
    <row r="44" spans="1:7" ht="42" customHeight="1" thickBot="1" x14ac:dyDescent="0.3">
      <c r="B44" s="24">
        <v>5</v>
      </c>
      <c r="C44" s="68" t="s">
        <v>20</v>
      </c>
      <c r="D44" s="68"/>
      <c r="E44" s="28">
        <f>VLOOKUP($C$37&amp;"-"&amp;C44,'Tabela de Apoio Chaves'!$B$4:$E$18,4,FALSE)</f>
        <v>0</v>
      </c>
      <c r="F44" s="116">
        <f>$F$37*E44</f>
        <v>0</v>
      </c>
    </row>
    <row r="45" spans="1:7" ht="14.4" thickTop="1" x14ac:dyDescent="0.25"/>
  </sheetData>
  <sheetProtection selectLockedCells="1"/>
  <mergeCells count="21">
    <mergeCell ref="D9:E9"/>
    <mergeCell ref="D10:F10"/>
    <mergeCell ref="C37:D37"/>
    <mergeCell ref="B38:F38"/>
    <mergeCell ref="B23:F23"/>
    <mergeCell ref="B16:F16"/>
    <mergeCell ref="B35:F35"/>
    <mergeCell ref="D21:F21"/>
    <mergeCell ref="B20:F20"/>
    <mergeCell ref="E18:E19"/>
    <mergeCell ref="F18:F19"/>
    <mergeCell ref="B18:C18"/>
    <mergeCell ref="B19:C19"/>
    <mergeCell ref="B21:C21"/>
    <mergeCell ref="B27:F27"/>
    <mergeCell ref="C44:D44"/>
    <mergeCell ref="C39:D39"/>
    <mergeCell ref="C40:D40"/>
    <mergeCell ref="C41:D41"/>
    <mergeCell ref="C42:D42"/>
    <mergeCell ref="C43:D43"/>
  </mergeCells>
  <conditionalFormatting sqref="B42:B44 B40">
    <cfRule type="colorScale" priority="6">
      <colorScale>
        <cfvo type="num" val="1"/>
        <cfvo type="percentile" val="50"/>
        <cfvo type="num" val="5"/>
        <color rgb="FFC9EFDC"/>
        <color rgb="FFFFEB84"/>
        <color rgb="FFFF7171"/>
      </colorScale>
    </cfRule>
    <cfRule type="colorScale" priority="8">
      <colorScale>
        <cfvo type="min"/>
        <cfvo type="max"/>
        <color rgb="FFFCFCFF"/>
        <color rgb="FFF8696B"/>
      </colorScale>
    </cfRule>
  </conditionalFormatting>
  <conditionalFormatting sqref="B40:C44">
    <cfRule type="colorScale" priority="4">
      <colorScale>
        <cfvo type="num" val="1"/>
        <cfvo type="percentile" val="50"/>
        <cfvo type="num" val="5"/>
        <color rgb="FFC9EFDC"/>
        <color rgb="FFFFEB84"/>
        <color rgb="FFFF7171"/>
      </colorScale>
    </cfRule>
  </conditionalFormatting>
  <conditionalFormatting sqref="C37">
    <cfRule type="containsText" dxfId="2" priority="1" operator="containsText" text="Agressivo">
      <formula>NOT(ISERROR(SEARCH("Agressivo",C37)))</formula>
    </cfRule>
    <cfRule type="containsText" dxfId="1" priority="2" operator="containsText" text="Moderado">
      <formula>NOT(ISERROR(SEARCH("Moderado",C37)))</formula>
    </cfRule>
    <cfRule type="containsText" dxfId="0" priority="3" operator="containsText" text="Conservador">
      <formula>NOT(ISERROR(SEARCH("Conservador",C37)))</formula>
    </cfRule>
  </conditionalFormatting>
  <conditionalFormatting sqref="C40">
    <cfRule type="colorScale" priority="5">
      <colorScale>
        <cfvo type="min"/>
        <cfvo type="max"/>
        <color rgb="FFFCFCFF"/>
        <color rgb="FFF8696B"/>
      </colorScale>
    </cfRule>
  </conditionalFormatting>
  <dataValidations disablePrompts="1" xWindow="1158" yWindow="578" count="8">
    <dataValidation type="decimal" errorStyle="warning" allowBlank="1" showInputMessage="1" showErrorMessage="1" errorTitle="Faça um bom planejamento!" error="Reserve no mínimo 5% todos os meses para investir._x000a_O ideal é reservar 30% de seu salário líquido._x000a_Porém, seja realista e não deixe de considerar todos os seus custos de vida. _x000a_Reavalie e reprograme periodicamente." promptTitle="Ideal: 30% de seu Salário" prompt="Digite um valor entre _x000a_        5% a 50%" sqref="E25" xr:uid="{F3E1EB41-0E9A-40CB-A2B9-C83E94458DD5}">
      <formula1>0.05</formula1>
      <formula2>0.5</formula2>
    </dataValidation>
    <dataValidation type="list" allowBlank="1" showInputMessage="1" showErrorMessage="1" promptTitle="Selecione aqui o seu perfil" prompt="Conservador, Moderado ou Agressivo" sqref="C37" xr:uid="{FF64EE01-4F7D-4F11-A2F0-08FD9ECE7B37}">
      <formula1>"Conservador, Moderado, Agressivo"</formula1>
    </dataValidation>
    <dataValidation allowBlank="1" showInputMessage="1" showErrorMessage="1" prompt="Digite % média de DY da Carteira" sqref="E26 F28" xr:uid="{3972D039-A1FB-4A0D-B849-B1044B13970F}"/>
    <dataValidation allowBlank="1" showInputMessage="1" showErrorMessage="1" prompt="Digite o valor de seu Salário mensal" sqref="C25" xr:uid="{250412D3-58B0-4070-8C5A-1F3572B261CC}"/>
    <dataValidation allowBlank="1" showInputMessage="1" showErrorMessage="1" prompt="Digite a média de valroização (%) de sua carteira total" sqref="C26" xr:uid="{89C076B4-6766-4D9B-BCBE-2479848D8027}"/>
    <dataValidation allowBlank="1" showInputMessage="1" showErrorMessage="1" prompt="Digite o valor que planeja investir mensalmente " sqref="F18:F19" xr:uid="{9AE30409-998E-46FC-ADF7-AA107B3FF80B}"/>
    <dataValidation allowBlank="1" showInputMessage="1" showErrorMessage="1" prompt="Digite quantos anos pretende obter o resultado" sqref="D18" xr:uid="{D2D44968-410D-48F4-A0AB-D0E250D8C16F}"/>
    <dataValidation allowBlank="1" showInputMessage="1" showErrorMessage="1" prompt="Digite o valor (%) de juros fixo mensal" sqref="D19" xr:uid="{755915F8-0899-48EB-B97C-FE6635ADBE81}"/>
  </dataValidations>
  <pageMargins left="0.25" right="0.25" top="0.75" bottom="0.75" header="0.3" footer="0.3"/>
  <pageSetup paperSize="9" scale="41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902E-87A9-4CF4-95B6-2DAC4613116F}">
  <dimension ref="B3:E18"/>
  <sheetViews>
    <sheetView workbookViewId="0">
      <selection activeCell="B16" sqref="B16"/>
    </sheetView>
  </sheetViews>
  <sheetFormatPr defaultRowHeight="13.8" x14ac:dyDescent="0.25"/>
  <cols>
    <col min="2" max="2" width="38.19921875" customWidth="1"/>
    <col min="3" max="3" width="15.59765625" customWidth="1"/>
    <col min="4" max="4" width="38" customWidth="1"/>
    <col min="5" max="5" width="9" customWidth="1"/>
    <col min="8" max="8" width="14.5" bestFit="1" customWidth="1"/>
    <col min="9" max="9" width="7.3984375" customWidth="1"/>
  </cols>
  <sheetData>
    <row r="3" spans="2:5" ht="14.4" x14ac:dyDescent="0.3">
      <c r="B3" s="2" t="s">
        <v>11</v>
      </c>
      <c r="C3" s="2" t="s">
        <v>5</v>
      </c>
      <c r="D3" s="3" t="s">
        <v>7</v>
      </c>
      <c r="E3" s="3" t="s">
        <v>12</v>
      </c>
    </row>
    <row r="4" spans="2:5" ht="36.6" customHeight="1" x14ac:dyDescent="0.25">
      <c r="B4" s="18" t="str">
        <f>C4&amp;"-"&amp;D4</f>
        <v>Conservador-Tesouro Selic; CDBs de grandes bancos; LCIs/LCAs; Fundos DI; Poupança</v>
      </c>
      <c r="C4" s="9" t="s">
        <v>13</v>
      </c>
      <c r="D4" s="10" t="s">
        <v>16</v>
      </c>
      <c r="E4" s="11">
        <v>0.4</v>
      </c>
    </row>
    <row r="5" spans="2:5" ht="41.4" x14ac:dyDescent="0.25">
      <c r="B5" s="18" t="str">
        <f t="shared" ref="B5:B18" si="0">C5&amp;"-"&amp;D5</f>
        <v>Conservador-ETFs amplos e diversificados; FIIs de tijolo; ações de grandes empresas (blue chips)</v>
      </c>
      <c r="C5" s="9" t="s">
        <v>13</v>
      </c>
      <c r="D5" s="10" t="s">
        <v>17</v>
      </c>
      <c r="E5" s="11">
        <v>0.3</v>
      </c>
    </row>
    <row r="6" spans="2:5" ht="41.4" x14ac:dyDescent="0.25">
      <c r="B6" s="18" t="str">
        <f t="shared" si="0"/>
        <v>Conservador-Ações de empresas médias; FIIs de papel; ETFs setoriais; fundos de ações ativos</v>
      </c>
      <c r="C6" s="9" t="s">
        <v>13</v>
      </c>
      <c r="D6" s="10" t="s">
        <v>18</v>
      </c>
      <c r="E6" s="11">
        <v>0.2</v>
      </c>
    </row>
    <row r="7" spans="2:5" ht="27.6" x14ac:dyDescent="0.25">
      <c r="B7" s="18" t="str">
        <f t="shared" si="0"/>
        <v>Conservador-Small caps; BDRs; commodities; derivativos simples (opções, futuros)</v>
      </c>
      <c r="C7" s="9" t="s">
        <v>13</v>
      </c>
      <c r="D7" s="10" t="s">
        <v>19</v>
      </c>
      <c r="E7" s="11">
        <v>0.1</v>
      </c>
    </row>
    <row r="8" spans="2:5" ht="27.6" x14ac:dyDescent="0.25">
      <c r="B8" s="18" t="str">
        <f t="shared" si="0"/>
        <v>Conservador-Criptomoedas; derivativos alavancados; penny stocks</v>
      </c>
      <c r="C8" s="9" t="s">
        <v>13</v>
      </c>
      <c r="D8" s="10" t="s">
        <v>20</v>
      </c>
      <c r="E8" s="11">
        <v>0</v>
      </c>
    </row>
    <row r="9" spans="2:5" ht="27.6" x14ac:dyDescent="0.25">
      <c r="B9" s="19" t="str">
        <f t="shared" si="0"/>
        <v>Moderado-Tesouro Selic; CDBs de grandes bancos; LCIs/LCAs; Fundos DI; Poupança</v>
      </c>
      <c r="C9" s="12" t="s">
        <v>6</v>
      </c>
      <c r="D9" s="13" t="s">
        <v>16</v>
      </c>
      <c r="E9" s="14">
        <v>0.1</v>
      </c>
    </row>
    <row r="10" spans="2:5" ht="41.4" x14ac:dyDescent="0.25">
      <c r="B10" s="19" t="str">
        <f t="shared" si="0"/>
        <v>Moderado-ETFs amplos e diversificados; FIIs de tijolo; ações de grandes empresas (blue chips)</v>
      </c>
      <c r="C10" s="12" t="s">
        <v>6</v>
      </c>
      <c r="D10" s="13" t="s">
        <v>17</v>
      </c>
      <c r="E10" s="14">
        <v>0.3</v>
      </c>
    </row>
    <row r="11" spans="2:5" ht="27.6" x14ac:dyDescent="0.25">
      <c r="B11" s="19" t="str">
        <f t="shared" si="0"/>
        <v>Moderado-Ações de empresas médias; FIIs de papel; ETFs setoriais; fundos de ações ativos</v>
      </c>
      <c r="C11" s="12" t="s">
        <v>6</v>
      </c>
      <c r="D11" s="13" t="s">
        <v>18</v>
      </c>
      <c r="E11" s="14">
        <v>0.3</v>
      </c>
    </row>
    <row r="12" spans="2:5" ht="27.6" x14ac:dyDescent="0.25">
      <c r="B12" s="19" t="str">
        <f t="shared" si="0"/>
        <v>Moderado-Small caps; BDRs; commodities; derivativos simples (opções, futuros)</v>
      </c>
      <c r="C12" s="12" t="s">
        <v>6</v>
      </c>
      <c r="D12" s="13" t="s">
        <v>19</v>
      </c>
      <c r="E12" s="14">
        <v>0.2</v>
      </c>
    </row>
    <row r="13" spans="2:5" ht="27.6" x14ac:dyDescent="0.25">
      <c r="B13" s="19" t="str">
        <f t="shared" si="0"/>
        <v>Moderado-Criptomoedas; derivativos alavancados; penny stocks</v>
      </c>
      <c r="C13" s="12" t="s">
        <v>6</v>
      </c>
      <c r="D13" s="13" t="s">
        <v>20</v>
      </c>
      <c r="E13" s="14">
        <v>0.1</v>
      </c>
    </row>
    <row r="14" spans="2:5" ht="27.6" x14ac:dyDescent="0.25">
      <c r="B14" s="20" t="str">
        <f t="shared" si="0"/>
        <v>Agressivo-Tesouro Selic; CDBs de grandes bancos; LCIs/LCAs; Fundos DI; Poupança</v>
      </c>
      <c r="C14" s="15" t="s">
        <v>10</v>
      </c>
      <c r="D14" s="16" t="s">
        <v>16</v>
      </c>
      <c r="E14" s="17">
        <v>0.05</v>
      </c>
    </row>
    <row r="15" spans="2:5" ht="41.4" x14ac:dyDescent="0.25">
      <c r="B15" s="20" t="str">
        <f t="shared" si="0"/>
        <v>Agressivo-ETFs amplos e diversificados; FIIs de tijolo; ações de grandes empresas (blue chips)</v>
      </c>
      <c r="C15" s="15" t="s">
        <v>10</v>
      </c>
      <c r="D15" s="16" t="s">
        <v>17</v>
      </c>
      <c r="E15" s="17">
        <v>0.05</v>
      </c>
    </row>
    <row r="16" spans="2:5" ht="27.6" x14ac:dyDescent="0.25">
      <c r="B16" s="20" t="str">
        <f t="shared" si="0"/>
        <v>Agressivo-Ações de empresas médias; FIIs de papel; ETFs setoriais; fundos de ações ativos</v>
      </c>
      <c r="C16" s="15" t="s">
        <v>10</v>
      </c>
      <c r="D16" s="16" t="s">
        <v>18</v>
      </c>
      <c r="E16" s="17">
        <v>0.3</v>
      </c>
    </row>
    <row r="17" spans="2:5" ht="27.6" x14ac:dyDescent="0.25">
      <c r="B17" s="20" t="str">
        <f t="shared" si="0"/>
        <v>Agressivo-Small caps; BDRs; commodities; derivativos simples (opções, futuros)</v>
      </c>
      <c r="C17" s="15" t="s">
        <v>10</v>
      </c>
      <c r="D17" s="16" t="s">
        <v>19</v>
      </c>
      <c r="E17" s="17">
        <v>0.3</v>
      </c>
    </row>
    <row r="18" spans="2:5" ht="27.6" x14ac:dyDescent="0.25">
      <c r="B18" s="21" t="str">
        <f t="shared" si="0"/>
        <v>Agressivo-Criptomoedas; derivativos alavancados; penny stocks</v>
      </c>
      <c r="C18" s="15" t="s">
        <v>10</v>
      </c>
      <c r="D18" s="16" t="s">
        <v>20</v>
      </c>
      <c r="E18" s="17">
        <v>0.3</v>
      </c>
    </row>
  </sheetData>
  <sheetProtection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25</vt:i4>
      </vt:variant>
    </vt:vector>
  </HeadingPairs>
  <TitlesOfParts>
    <vt:vector size="27" baseType="lpstr">
      <vt:lpstr>Plano de Investimento</vt:lpstr>
      <vt:lpstr>Tabela de Apoio Chaves</vt:lpstr>
      <vt:lpstr>aporte_divers</vt:lpstr>
      <vt:lpstr>aporte_rendafix</vt:lpstr>
      <vt:lpstr>aporte_rendavar</vt:lpstr>
      <vt:lpstr>dividendo_10</vt:lpstr>
      <vt:lpstr>dividendo_1o</vt:lpstr>
      <vt:lpstr>dividendo_2</vt:lpstr>
      <vt:lpstr>dividendo_20</vt:lpstr>
      <vt:lpstr>dividendo_30</vt:lpstr>
      <vt:lpstr>dividendo_5</vt:lpstr>
      <vt:lpstr>DY_rendavar</vt:lpstr>
      <vt:lpstr>periodo_rendafix</vt:lpstr>
      <vt:lpstr>rendimento_10_rendavar</vt:lpstr>
      <vt:lpstr>rendimento_2_rendavar</vt:lpstr>
      <vt:lpstr>rendimento_20_rendavar</vt:lpstr>
      <vt:lpstr>rendimento_30_rendavar</vt:lpstr>
      <vt:lpstr>rendimento_5_rendavar</vt:lpstr>
      <vt:lpstr>rendimento_rendafix</vt:lpstr>
      <vt:lpstr>rendimento_rendavar</vt:lpstr>
      <vt:lpstr>reserva_rendavar</vt:lpstr>
      <vt:lpstr>salario</vt:lpstr>
      <vt:lpstr>valor_mensal_10</vt:lpstr>
      <vt:lpstr>valor_mensal_2</vt:lpstr>
      <vt:lpstr>valor_mensal_20</vt:lpstr>
      <vt:lpstr>valor_mensal_30</vt:lpstr>
      <vt:lpstr>valor_mensal_5</vt:lpstr>
    </vt:vector>
  </TitlesOfParts>
  <Company>ZF Automotive Brasil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Rodrigues de</dc:creator>
  <cp:lastModifiedBy>Rafael Oliveira</cp:lastModifiedBy>
  <cp:lastPrinted>2026-01-28T14:50:31Z</cp:lastPrinted>
  <dcterms:created xsi:type="dcterms:W3CDTF">2026-01-26T05:52:43Z</dcterms:created>
  <dcterms:modified xsi:type="dcterms:W3CDTF">2026-02-01T23:00:04Z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2026-01-26T08:03:22Z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48fc6506-7f56-4a7c-80d2-717557e39d6a</vt:lpwstr>
  </property>
  <property fmtid="{D5CDD505-2E9C-101B-9397-08002B2CF9AE}" pid="8" name="MSIP_Label_7294a1c8-9899-41e7-8f6e-8b1b3c79592a_ContentBits">
    <vt:lpwstr>0</vt:lpwstr>
  </property>
</Properties>
</file>